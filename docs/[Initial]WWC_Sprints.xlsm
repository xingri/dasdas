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charts/chart10.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120" yWindow="45" windowWidth="15135" windowHeight="8130" activeTab="3"/>
  </bookViews>
  <sheets>
    <sheet name="ProjectSummary" sheetId="8" r:id="rId1"/>
    <sheet name="ProductBklog" sheetId="7" r:id="rId2"/>
    <sheet name="SpSummary" sheetId="5" r:id="rId3"/>
    <sheet name="Sp1" sheetId="4" r:id="rId4"/>
    <sheet name="Data" sheetId="1" state="hidden" r:id="rId5"/>
    <sheet name="Impediments" sheetId="6" state="hidden" r:id="rId6"/>
    <sheet name="Sp2" sheetId="10" r:id="rId7"/>
    <sheet name="Sp3" sheetId="12" r:id="rId8"/>
    <sheet name="Retrospection" sheetId="9" r:id="rId9"/>
    <sheet name="Sheet1" sheetId="13" r:id="rId10"/>
  </sheets>
  <definedNames>
    <definedName name="_xlnm._FilterDatabase" localSheetId="3" hidden="1">'Sp1'!$B$39:$AP$76</definedName>
    <definedName name="_xlnm._FilterDatabase" localSheetId="6" hidden="1">'Sp2'!$B$39:$AP$76</definedName>
    <definedName name="_xlnm._FilterDatabase" localSheetId="7" hidden="1">'Sp3'!$B$39:$AP$76</definedName>
    <definedName name="EffortType">OFFSET(Data!$A$3,0,0,COUNTA(Data!$A:$A)-1)</definedName>
    <definedName name="Names">OFFSET(Data!$B$2,0,0,COUNTA(Data!$B:$B)-1)</definedName>
    <definedName name="Priority">OFFSET(Data!$E$2,0,0,COUNTA(Data!$E:$E)-1)</definedName>
    <definedName name="RemEffort" localSheetId="6">OFFSET('Sp2'!$W$24,0,0,,COUNTA('Sp2'!$W$24:$BA$24)-COUNTBLANK('Sp2'!$W$24:$BA$24))</definedName>
    <definedName name="RemEffort" localSheetId="7">OFFSET('Sp3'!$W$24,0,0,,COUNTA('Sp3'!$W$24:$BA$24)-COUNTBLANK('Sp3'!$W$24:$BA$24))</definedName>
    <definedName name="RemEffort">OFFSET('Sp1'!$W$24,0,0,,COUNTA('Sp1'!$W$24:$BA$24)-COUNTBLANK('Sp1'!$W$24:$BA$24))</definedName>
    <definedName name="Status">OFFSET(Data!$C$2,0,0,COUNTA(Data!$C:$C)-1)</definedName>
    <definedName name="Team">OFFSET(Data!$D$2,0,0,COUNTA(Data!$D:$D)-1)</definedName>
    <definedName name="TimesheetNames" localSheetId="6">OFFSET('Sp2'!$T$11,0,0,12)</definedName>
    <definedName name="TimesheetNames" localSheetId="7">OFFSET('Sp3'!$T$11,0,0,12)</definedName>
    <definedName name="TimesheetNames">OFFSET('Sp1'!$T$11,0,0,12)</definedName>
  </definedNames>
  <calcPr calcId="125725"/>
</workbook>
</file>

<file path=xl/calcChain.xml><?xml version="1.0" encoding="utf-8"?>
<calcChain xmlns="http://schemas.openxmlformats.org/spreadsheetml/2006/main">
  <c r="J100" i="12"/>
  <c r="C100"/>
  <c r="J99"/>
  <c r="C99"/>
  <c r="J98"/>
  <c r="C98"/>
  <c r="J97"/>
  <c r="C97"/>
  <c r="J96"/>
  <c r="C96"/>
  <c r="J95"/>
  <c r="C95"/>
  <c r="J94"/>
  <c r="C94"/>
  <c r="J93"/>
  <c r="C93"/>
  <c r="J92"/>
  <c r="C92"/>
  <c r="J91"/>
  <c r="C91"/>
  <c r="J90"/>
  <c r="C90"/>
  <c r="J89"/>
  <c r="C89"/>
  <c r="J88"/>
  <c r="C88"/>
  <c r="J87"/>
  <c r="C87"/>
  <c r="J86"/>
  <c r="C86"/>
  <c r="J85"/>
  <c r="C85"/>
  <c r="J84"/>
  <c r="C84"/>
  <c r="J83"/>
  <c r="C83"/>
  <c r="J82"/>
  <c r="C82"/>
  <c r="J81"/>
  <c r="C81"/>
  <c r="J80"/>
  <c r="C80"/>
  <c r="J79"/>
  <c r="C79"/>
  <c r="J78"/>
  <c r="C78"/>
  <c r="J77"/>
  <c r="C77"/>
  <c r="J76"/>
  <c r="C76"/>
  <c r="J75"/>
  <c r="C75"/>
  <c r="J74"/>
  <c r="C74"/>
  <c r="J73"/>
  <c r="C73"/>
  <c r="J72"/>
  <c r="C72"/>
  <c r="J71"/>
  <c r="C71"/>
  <c r="J70"/>
  <c r="C70"/>
  <c r="J69"/>
  <c r="C69"/>
  <c r="J68"/>
  <c r="C68"/>
  <c r="J67"/>
  <c r="C67"/>
  <c r="J66"/>
  <c r="C66"/>
  <c r="J65"/>
  <c r="C65"/>
  <c r="J64"/>
  <c r="C64"/>
  <c r="J63"/>
  <c r="C63"/>
  <c r="J62"/>
  <c r="C62"/>
  <c r="J61"/>
  <c r="C61"/>
  <c r="J60"/>
  <c r="C60"/>
  <c r="J59"/>
  <c r="C59"/>
  <c r="J58"/>
  <c r="C58"/>
  <c r="J57"/>
  <c r="C57"/>
  <c r="J56"/>
  <c r="C56"/>
  <c r="J55"/>
  <c r="C55"/>
  <c r="J54"/>
  <c r="C54"/>
  <c r="J53"/>
  <c r="C53"/>
  <c r="J52"/>
  <c r="C52"/>
  <c r="J51"/>
  <c r="C51"/>
  <c r="J50"/>
  <c r="C50"/>
  <c r="J49"/>
  <c r="C49"/>
  <c r="J48"/>
  <c r="C48"/>
  <c r="J47"/>
  <c r="C47"/>
  <c r="J46"/>
  <c r="C46"/>
  <c r="J45"/>
  <c r="C45"/>
  <c r="J44"/>
  <c r="C44"/>
  <c r="J43"/>
  <c r="C43"/>
  <c r="J42"/>
  <c r="C42"/>
  <c r="J41"/>
  <c r="C41"/>
  <c r="J40"/>
  <c r="C40"/>
  <c r="L39"/>
  <c r="M39" s="1"/>
  <c r="U22"/>
  <c r="U21"/>
  <c r="U20"/>
  <c r="U19"/>
  <c r="U18"/>
  <c r="U17"/>
  <c r="T16"/>
  <c r="U16" s="1"/>
  <c r="T15"/>
  <c r="U15" s="1"/>
  <c r="C15"/>
  <c r="T14"/>
  <c r="T13"/>
  <c r="U13" s="1"/>
  <c r="T12"/>
  <c r="T11"/>
  <c r="U11" s="1"/>
  <c r="C11"/>
  <c r="U7"/>
  <c r="U6"/>
  <c r="U5"/>
  <c r="U4"/>
  <c r="U3"/>
  <c r="E2"/>
  <c r="J100" i="10"/>
  <c r="C100"/>
  <c r="J99"/>
  <c r="C99"/>
  <c r="J98"/>
  <c r="C98"/>
  <c r="J97"/>
  <c r="C97"/>
  <c r="J96"/>
  <c r="C96"/>
  <c r="J95"/>
  <c r="C95"/>
  <c r="J94"/>
  <c r="C94"/>
  <c r="J93"/>
  <c r="C93"/>
  <c r="J92"/>
  <c r="C92"/>
  <c r="J91"/>
  <c r="C91"/>
  <c r="J90"/>
  <c r="C90"/>
  <c r="J89"/>
  <c r="C89"/>
  <c r="J88"/>
  <c r="C88"/>
  <c r="J87"/>
  <c r="C87"/>
  <c r="J86"/>
  <c r="C86"/>
  <c r="J85"/>
  <c r="C85"/>
  <c r="J84"/>
  <c r="C84"/>
  <c r="J83"/>
  <c r="C83"/>
  <c r="J82"/>
  <c r="C82"/>
  <c r="J81"/>
  <c r="C81"/>
  <c r="J80"/>
  <c r="C80"/>
  <c r="J79"/>
  <c r="C79"/>
  <c r="J78"/>
  <c r="C78"/>
  <c r="J77"/>
  <c r="C77"/>
  <c r="J76"/>
  <c r="C76"/>
  <c r="J75"/>
  <c r="C75"/>
  <c r="J74"/>
  <c r="C74"/>
  <c r="J73"/>
  <c r="C73"/>
  <c r="J72"/>
  <c r="C72"/>
  <c r="J71"/>
  <c r="C71"/>
  <c r="J70"/>
  <c r="C70"/>
  <c r="J69"/>
  <c r="C69"/>
  <c r="J68"/>
  <c r="C68"/>
  <c r="J67"/>
  <c r="C67"/>
  <c r="J66"/>
  <c r="C66"/>
  <c r="J65"/>
  <c r="C65"/>
  <c r="J64"/>
  <c r="C64"/>
  <c r="J63"/>
  <c r="C63"/>
  <c r="J62"/>
  <c r="C62"/>
  <c r="J61"/>
  <c r="C61"/>
  <c r="J60"/>
  <c r="C60"/>
  <c r="J59"/>
  <c r="C59"/>
  <c r="J58"/>
  <c r="C58"/>
  <c r="J57"/>
  <c r="C57"/>
  <c r="J56"/>
  <c r="C56"/>
  <c r="J55"/>
  <c r="C55"/>
  <c r="J54"/>
  <c r="C54"/>
  <c r="J53"/>
  <c r="C53"/>
  <c r="J52"/>
  <c r="C52"/>
  <c r="J51"/>
  <c r="C51"/>
  <c r="J50"/>
  <c r="C50"/>
  <c r="J49"/>
  <c r="C49"/>
  <c r="J48"/>
  <c r="C48"/>
  <c r="J47"/>
  <c r="C47"/>
  <c r="J46"/>
  <c r="C46"/>
  <c r="J45"/>
  <c r="C45"/>
  <c r="J44"/>
  <c r="C44"/>
  <c r="J43"/>
  <c r="C43"/>
  <c r="J42"/>
  <c r="C42"/>
  <c r="J41"/>
  <c r="C41"/>
  <c r="J40"/>
  <c r="C40"/>
  <c r="L39"/>
  <c r="W10" s="1"/>
  <c r="U22"/>
  <c r="U21"/>
  <c r="U20"/>
  <c r="U19"/>
  <c r="U18"/>
  <c r="U17"/>
  <c r="T16"/>
  <c r="U16" s="1"/>
  <c r="T15"/>
  <c r="U15" s="1"/>
  <c r="C15"/>
  <c r="T14"/>
  <c r="U14" s="1"/>
  <c r="T13"/>
  <c r="U13" s="1"/>
  <c r="T12"/>
  <c r="U12" s="1"/>
  <c r="T11"/>
  <c r="U11" s="1"/>
  <c r="C11"/>
  <c r="U7"/>
  <c r="U6"/>
  <c r="U5"/>
  <c r="U4"/>
  <c r="U3"/>
  <c r="E2"/>
  <c r="V13" i="12" l="1"/>
  <c r="V19"/>
  <c r="V12"/>
  <c r="U8"/>
  <c r="W10"/>
  <c r="W13" s="1"/>
  <c r="X10"/>
  <c r="N39"/>
  <c r="W18"/>
  <c r="W22"/>
  <c r="V11"/>
  <c r="V20"/>
  <c r="V22"/>
  <c r="V18"/>
  <c r="V21"/>
  <c r="X20"/>
  <c r="V17"/>
  <c r="X16"/>
  <c r="C16"/>
  <c r="W11"/>
  <c r="U12"/>
  <c r="X13"/>
  <c r="V14"/>
  <c r="W16"/>
  <c r="X19"/>
  <c r="W20"/>
  <c r="W19"/>
  <c r="W21"/>
  <c r="W17"/>
  <c r="W14"/>
  <c r="W12"/>
  <c r="W15"/>
  <c r="X11"/>
  <c r="U14"/>
  <c r="V15"/>
  <c r="X17"/>
  <c r="X21"/>
  <c r="X22"/>
  <c r="X18"/>
  <c r="X15"/>
  <c r="V16"/>
  <c r="V11" i="10"/>
  <c r="U8"/>
  <c r="V12"/>
  <c r="V19"/>
  <c r="W11"/>
  <c r="M39"/>
  <c r="N39" s="1"/>
  <c r="O39" s="1"/>
  <c r="P39" s="1"/>
  <c r="W22"/>
  <c r="W18"/>
  <c r="W19"/>
  <c r="W21"/>
  <c r="W17"/>
  <c r="W14"/>
  <c r="W12"/>
  <c r="W15"/>
  <c r="V20"/>
  <c r="V22"/>
  <c r="V18"/>
  <c r="V21"/>
  <c r="V17"/>
  <c r="C16"/>
  <c r="V13"/>
  <c r="V14"/>
  <c r="W16"/>
  <c r="W20"/>
  <c r="W13"/>
  <c r="V15"/>
  <c r="V16"/>
  <c r="Y10" i="12" l="1"/>
  <c r="O39"/>
  <c r="X12"/>
  <c r="X14"/>
  <c r="W23"/>
  <c r="W24" s="1"/>
  <c r="Y10" i="10"/>
  <c r="Y20" s="1"/>
  <c r="Z10"/>
  <c r="Z20" s="1"/>
  <c r="X10"/>
  <c r="X20" s="1"/>
  <c r="Q39"/>
  <c r="AA10"/>
  <c r="W23"/>
  <c r="W24" s="1"/>
  <c r="X23" i="12" l="1"/>
  <c r="X24" s="1"/>
  <c r="P39"/>
  <c r="Z10"/>
  <c r="Y15"/>
  <c r="Y16"/>
  <c r="Y22"/>
  <c r="Y11"/>
  <c r="Y20"/>
  <c r="Y19"/>
  <c r="Y18"/>
  <c r="Y21"/>
  <c r="Y13"/>
  <c r="Y12"/>
  <c r="Y17"/>
  <c r="Y14"/>
  <c r="Y14" i="10"/>
  <c r="Y15"/>
  <c r="Y21"/>
  <c r="Y18"/>
  <c r="Y13"/>
  <c r="X18"/>
  <c r="X12"/>
  <c r="Y17"/>
  <c r="Y19"/>
  <c r="Z18"/>
  <c r="Z21"/>
  <c r="Z13"/>
  <c r="Z17"/>
  <c r="Z12"/>
  <c r="Z22"/>
  <c r="Z11"/>
  <c r="Z15"/>
  <c r="Z14"/>
  <c r="X19"/>
  <c r="Y11"/>
  <c r="Y12"/>
  <c r="Z16"/>
  <c r="Z19"/>
  <c r="Y22"/>
  <c r="X17"/>
  <c r="X16"/>
  <c r="Y16"/>
  <c r="X14"/>
  <c r="X15"/>
  <c r="X11"/>
  <c r="X13"/>
  <c r="X21"/>
  <c r="X22"/>
  <c r="AA18"/>
  <c r="AA17"/>
  <c r="AA20"/>
  <c r="AA16"/>
  <c r="AA22"/>
  <c r="AA21"/>
  <c r="AA14"/>
  <c r="AA15"/>
  <c r="AA19"/>
  <c r="AA12"/>
  <c r="AA13"/>
  <c r="AA11"/>
  <c r="R39"/>
  <c r="AB10"/>
  <c r="Y23" i="12" l="1"/>
  <c r="Y24" s="1"/>
  <c r="Z21"/>
  <c r="Z17"/>
  <c r="Z15"/>
  <c r="Z11"/>
  <c r="Z22"/>
  <c r="Z19"/>
  <c r="Z20"/>
  <c r="Z18"/>
  <c r="Z16"/>
  <c r="Z14"/>
  <c r="Z12"/>
  <c r="Z13"/>
  <c r="Q39"/>
  <c r="AA10"/>
  <c r="X23" i="10"/>
  <c r="X24" s="1"/>
  <c r="Y23"/>
  <c r="Z23"/>
  <c r="AA23"/>
  <c r="AB21"/>
  <c r="AB19"/>
  <c r="AB14"/>
  <c r="AB18"/>
  <c r="AB13"/>
  <c r="AB11"/>
  <c r="AB17"/>
  <c r="AB12"/>
  <c r="AB16"/>
  <c r="AB22"/>
  <c r="AB15"/>
  <c r="AB20"/>
  <c r="S39"/>
  <c r="AC10"/>
  <c r="J40" i="4"/>
  <c r="J41"/>
  <c r="J42"/>
  <c r="V17" s="1"/>
  <c r="U17"/>
  <c r="U18"/>
  <c r="T16"/>
  <c r="T15"/>
  <c r="T14"/>
  <c r="T13"/>
  <c r="T12"/>
  <c r="T11"/>
  <c r="G5" i="5"/>
  <c r="F5"/>
  <c r="E5"/>
  <c r="D5"/>
  <c r="C5"/>
  <c r="G4"/>
  <c r="F4"/>
  <c r="E4"/>
  <c r="D4"/>
  <c r="C4"/>
  <c r="G3"/>
  <c r="F3"/>
  <c r="E3"/>
  <c r="D3"/>
  <c r="C3"/>
  <c r="C15" i="4"/>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U19"/>
  <c r="U20"/>
  <c r="U21"/>
  <c r="U22"/>
  <c r="C100"/>
  <c r="C99"/>
  <c r="C98"/>
  <c r="C97"/>
  <c r="C96"/>
  <c r="C95"/>
  <c r="C94"/>
  <c r="C93"/>
  <c r="C92"/>
  <c r="C91"/>
  <c r="C90"/>
  <c r="C89"/>
  <c r="C88"/>
  <c r="C87"/>
  <c r="C86"/>
  <c r="C85"/>
  <c r="C84"/>
  <c r="C83"/>
  <c r="C82"/>
  <c r="C81"/>
  <c r="C80"/>
  <c r="C79"/>
  <c r="C78"/>
  <c r="C77"/>
  <c r="C43"/>
  <c r="C44"/>
  <c r="C45"/>
  <c r="C46"/>
  <c r="C47"/>
  <c r="C48"/>
  <c r="C49"/>
  <c r="C50"/>
  <c r="C51"/>
  <c r="C52"/>
  <c r="C53"/>
  <c r="C54"/>
  <c r="C55"/>
  <c r="C56"/>
  <c r="C57"/>
  <c r="C58"/>
  <c r="C59"/>
  <c r="C60"/>
  <c r="C61"/>
  <c r="C62"/>
  <c r="C63"/>
  <c r="C64"/>
  <c r="C65"/>
  <c r="C66"/>
  <c r="C67"/>
  <c r="C68"/>
  <c r="C69"/>
  <c r="C70"/>
  <c r="C71"/>
  <c r="C72"/>
  <c r="C73"/>
  <c r="C74"/>
  <c r="C75"/>
  <c r="C76"/>
  <c r="C42"/>
  <c r="C41"/>
  <c r="C40"/>
  <c r="F2" i="5"/>
  <c r="E2"/>
  <c r="C2"/>
  <c r="D2"/>
  <c r="Z23" i="12" l="1"/>
  <c r="Z24" s="1"/>
  <c r="AA19"/>
  <c r="AA12"/>
  <c r="AA20"/>
  <c r="AA22"/>
  <c r="AA21"/>
  <c r="AA16"/>
  <c r="AA18"/>
  <c r="AA17"/>
  <c r="AA11"/>
  <c r="AA14"/>
  <c r="AA15"/>
  <c r="AA13"/>
  <c r="AB10"/>
  <c r="R39"/>
  <c r="Y24" i="10"/>
  <c r="Z24" s="1"/>
  <c r="AA24" s="1"/>
  <c r="AB23"/>
  <c r="AC21"/>
  <c r="AC11"/>
  <c r="AC19"/>
  <c r="AC15"/>
  <c r="AC18"/>
  <c r="AC17"/>
  <c r="AC20"/>
  <c r="AC22"/>
  <c r="AC16"/>
  <c r="AC13"/>
  <c r="AC14"/>
  <c r="AC12"/>
  <c r="T39"/>
  <c r="AD10"/>
  <c r="V18" i="4"/>
  <c r="V22"/>
  <c r="V20"/>
  <c r="C16"/>
  <c r="V21"/>
  <c r="V19"/>
  <c r="V15"/>
  <c r="V13"/>
  <c r="L39"/>
  <c r="M39" s="1"/>
  <c r="X10" s="1"/>
  <c r="E2"/>
  <c r="U3"/>
  <c r="U4"/>
  <c r="U5"/>
  <c r="U6"/>
  <c r="U7"/>
  <c r="C11"/>
  <c r="G2" i="5"/>
  <c r="AA23" i="12" l="1"/>
  <c r="AA24" s="1"/>
  <c r="S39"/>
  <c r="AC10"/>
  <c r="AB13"/>
  <c r="AB16"/>
  <c r="AB20"/>
  <c r="AB11"/>
  <c r="AB17"/>
  <c r="AB18"/>
  <c r="AB14"/>
  <c r="AB22"/>
  <c r="AB15"/>
  <c r="AB12"/>
  <c r="AB21"/>
  <c r="AB19"/>
  <c r="AB24" i="10"/>
  <c r="AC23"/>
  <c r="AD19"/>
  <c r="AD18"/>
  <c r="AD13"/>
  <c r="AD20"/>
  <c r="AD12"/>
  <c r="AD11"/>
  <c r="AD16"/>
  <c r="AD22"/>
  <c r="AD15"/>
  <c r="AD14"/>
  <c r="AD17"/>
  <c r="AD21"/>
  <c r="U39"/>
  <c r="AE10"/>
  <c r="X18" i="4"/>
  <c r="X17"/>
  <c r="U8"/>
  <c r="X20"/>
  <c r="X22"/>
  <c r="X19"/>
  <c r="X21"/>
  <c r="X13"/>
  <c r="W10"/>
  <c r="U15"/>
  <c r="N39"/>
  <c r="O39" s="1"/>
  <c r="Z10" s="1"/>
  <c r="U13"/>
  <c r="V11"/>
  <c r="V16"/>
  <c r="V14"/>
  <c r="V12"/>
  <c r="U11"/>
  <c r="U16"/>
  <c r="U14"/>
  <c r="U12"/>
  <c r="X11"/>
  <c r="X16"/>
  <c r="X14"/>
  <c r="X12"/>
  <c r="X15"/>
  <c r="AB23" i="12" l="1"/>
  <c r="AB24" s="1"/>
  <c r="AC13"/>
  <c r="AC14"/>
  <c r="AC12"/>
  <c r="AC15"/>
  <c r="AC16"/>
  <c r="AC19"/>
  <c r="AC21"/>
  <c r="AC11"/>
  <c r="AC22"/>
  <c r="AC17"/>
  <c r="AC20"/>
  <c r="AC18"/>
  <c r="T39"/>
  <c r="AD10"/>
  <c r="AC24" i="10"/>
  <c r="AD23"/>
  <c r="AE20"/>
  <c r="AE22"/>
  <c r="AE21"/>
  <c r="AE15"/>
  <c r="AE19"/>
  <c r="AE12"/>
  <c r="AE13"/>
  <c r="AE16"/>
  <c r="AE18"/>
  <c r="AE17"/>
  <c r="AE14"/>
  <c r="AE11"/>
  <c r="V39"/>
  <c r="AF10"/>
  <c r="Z18" i="4"/>
  <c r="Z17"/>
  <c r="P39"/>
  <c r="AA10" s="1"/>
  <c r="W17"/>
  <c r="W18"/>
  <c r="Y10"/>
  <c r="W11"/>
  <c r="W19"/>
  <c r="W21"/>
  <c r="W22"/>
  <c r="W20"/>
  <c r="Z22"/>
  <c r="Z20"/>
  <c r="Z19"/>
  <c r="Z21"/>
  <c r="Y22"/>
  <c r="W13"/>
  <c r="W15"/>
  <c r="W14"/>
  <c r="W16"/>
  <c r="W12"/>
  <c r="Y13"/>
  <c r="Z13"/>
  <c r="Z15"/>
  <c r="Z12"/>
  <c r="Z14"/>
  <c r="Z16"/>
  <c r="Z11"/>
  <c r="Q39"/>
  <c r="AC23" i="12" l="1"/>
  <c r="AC24" s="1"/>
  <c r="AD19"/>
  <c r="AD11"/>
  <c r="AD17"/>
  <c r="AD16"/>
  <c r="AD18"/>
  <c r="AD21"/>
  <c r="AD14"/>
  <c r="AD15"/>
  <c r="AD12"/>
  <c r="AD20"/>
  <c r="AD22"/>
  <c r="AD13"/>
  <c r="U39"/>
  <c r="AE10"/>
  <c r="AD24" i="10"/>
  <c r="AE23"/>
  <c r="AF18"/>
  <c r="AF15"/>
  <c r="AF14"/>
  <c r="AF21"/>
  <c r="AF11"/>
  <c r="AF12"/>
  <c r="AF19"/>
  <c r="AF13"/>
  <c r="AF20"/>
  <c r="AF22"/>
  <c r="AF17"/>
  <c r="AF16"/>
  <c r="AG10"/>
  <c r="W39"/>
  <c r="AA17" i="4"/>
  <c r="AA18"/>
  <c r="Y20"/>
  <c r="Y17"/>
  <c r="Y18"/>
  <c r="Y12"/>
  <c r="Y19"/>
  <c r="Y16"/>
  <c r="Y21"/>
  <c r="Y15"/>
  <c r="Y14"/>
  <c r="Y11"/>
  <c r="AA19"/>
  <c r="AA21"/>
  <c r="AA22"/>
  <c r="AA20"/>
  <c r="AA12"/>
  <c r="AA14"/>
  <c r="AA16"/>
  <c r="AA11"/>
  <c r="AA13"/>
  <c r="AA15"/>
  <c r="R39"/>
  <c r="AB10"/>
  <c r="AD23" i="12" l="1"/>
  <c r="AD24" s="1"/>
  <c r="AE14"/>
  <c r="AE15"/>
  <c r="AE11"/>
  <c r="AE19"/>
  <c r="AE12"/>
  <c r="AE13"/>
  <c r="AE20"/>
  <c r="AE22"/>
  <c r="AE21"/>
  <c r="AE16"/>
  <c r="AE18"/>
  <c r="AE17"/>
  <c r="AE23"/>
  <c r="AE24" s="1"/>
  <c r="V39"/>
  <c r="AF10"/>
  <c r="AE24" i="10"/>
  <c r="AF23"/>
  <c r="AH10"/>
  <c r="X39"/>
  <c r="AG22"/>
  <c r="AG14"/>
  <c r="AG19"/>
  <c r="AG16"/>
  <c r="AG21"/>
  <c r="AG18"/>
  <c r="AG20"/>
  <c r="AG17"/>
  <c r="AG13"/>
  <c r="AG15"/>
  <c r="AG11"/>
  <c r="AG12"/>
  <c r="AB18" i="4"/>
  <c r="AB17"/>
  <c r="AB20"/>
  <c r="AB22"/>
  <c r="AB21"/>
  <c r="AB19"/>
  <c r="AB13"/>
  <c r="AB15"/>
  <c r="AB12"/>
  <c r="AB14"/>
  <c r="AB16"/>
  <c r="AB11"/>
  <c r="S39"/>
  <c r="AC10"/>
  <c r="AG10" i="12" l="1"/>
  <c r="W39"/>
  <c r="AF18"/>
  <c r="AF15"/>
  <c r="AF11"/>
  <c r="AF22"/>
  <c r="AF17"/>
  <c r="AF16"/>
  <c r="AF19"/>
  <c r="AF12"/>
  <c r="AF14"/>
  <c r="AF21"/>
  <c r="AF20"/>
  <c r="AF13"/>
  <c r="AF23"/>
  <c r="AF24" s="1"/>
  <c r="AF24" i="10"/>
  <c r="AG23"/>
  <c r="Y39"/>
  <c r="AI10"/>
  <c r="AH16"/>
  <c r="AH14"/>
  <c r="AH19"/>
  <c r="AH17"/>
  <c r="AH18"/>
  <c r="AH13"/>
  <c r="AH20"/>
  <c r="AH15"/>
  <c r="AH11"/>
  <c r="AH21"/>
  <c r="AH12"/>
  <c r="AH22"/>
  <c r="AC17" i="4"/>
  <c r="AC18"/>
  <c r="AC19"/>
  <c r="AC21"/>
  <c r="AC22"/>
  <c r="AC20"/>
  <c r="AC12"/>
  <c r="AC14"/>
  <c r="AC16"/>
  <c r="AC11"/>
  <c r="AC13"/>
  <c r="AC15"/>
  <c r="T39"/>
  <c r="AD10"/>
  <c r="X39" i="12" l="1"/>
  <c r="AH10"/>
  <c r="AG15"/>
  <c r="AG11"/>
  <c r="AG19"/>
  <c r="AG17"/>
  <c r="AG13"/>
  <c r="AG16"/>
  <c r="AG22"/>
  <c r="AG12"/>
  <c r="AG14"/>
  <c r="AG21"/>
  <c r="AG18"/>
  <c r="AG20"/>
  <c r="AG23"/>
  <c r="AG24" s="1"/>
  <c r="AG24" i="10"/>
  <c r="AH23"/>
  <c r="AI24"/>
  <c r="AI16"/>
  <c r="AI22"/>
  <c r="AI15"/>
  <c r="AI12"/>
  <c r="AI17"/>
  <c r="AI13"/>
  <c r="AI14"/>
  <c r="AI21"/>
  <c r="AI18"/>
  <c r="AI19"/>
  <c r="AI20"/>
  <c r="AI11"/>
  <c r="AI23"/>
  <c r="Z39"/>
  <c r="AJ10"/>
  <c r="AD18" i="4"/>
  <c r="AD17"/>
  <c r="AD22"/>
  <c r="AD20"/>
  <c r="AD19"/>
  <c r="AD21"/>
  <c r="AD13"/>
  <c r="AD15"/>
  <c r="AD12"/>
  <c r="AD14"/>
  <c r="AD16"/>
  <c r="AD11"/>
  <c r="AE10"/>
  <c r="U39"/>
  <c r="AH20" i="12" l="1"/>
  <c r="AH15"/>
  <c r="AH13"/>
  <c r="AH21"/>
  <c r="AH18"/>
  <c r="AH16"/>
  <c r="AH14"/>
  <c r="AH22"/>
  <c r="AH19"/>
  <c r="AH17"/>
  <c r="AH11"/>
  <c r="AH12"/>
  <c r="AH23"/>
  <c r="AH24" s="1"/>
  <c r="AH24" i="10"/>
  <c r="Y39" i="12"/>
  <c r="AI10"/>
  <c r="AA39" i="10"/>
  <c r="AK10"/>
  <c r="AJ22"/>
  <c r="AJ19"/>
  <c r="AJ21"/>
  <c r="AJ24"/>
  <c r="AJ20"/>
  <c r="AJ12"/>
  <c r="AJ11"/>
  <c r="AJ18"/>
  <c r="AJ13"/>
  <c r="AJ14"/>
  <c r="AJ17"/>
  <c r="AJ16"/>
  <c r="AJ15"/>
  <c r="AJ23"/>
  <c r="AE17" i="4"/>
  <c r="AE18"/>
  <c r="AE19"/>
  <c r="AE21"/>
  <c r="AE22"/>
  <c r="AE20"/>
  <c r="AE12"/>
  <c r="AE14"/>
  <c r="AE16"/>
  <c r="AE11"/>
  <c r="AE13"/>
  <c r="AE15"/>
  <c r="V39"/>
  <c r="AF10"/>
  <c r="AJ10" i="12" l="1"/>
  <c r="Z39"/>
  <c r="AI19"/>
  <c r="AI12"/>
  <c r="AI17"/>
  <c r="AI18"/>
  <c r="AI16"/>
  <c r="AI13"/>
  <c r="AI24"/>
  <c r="AI20"/>
  <c r="AI11"/>
  <c r="AI15"/>
  <c r="AI23"/>
  <c r="AI14"/>
  <c r="AI21"/>
  <c r="AI22"/>
  <c r="AK23" i="10"/>
  <c r="AK19"/>
  <c r="AK18"/>
  <c r="AK24"/>
  <c r="AK11"/>
  <c r="AK15"/>
  <c r="AK22"/>
  <c r="AK14"/>
  <c r="AK21"/>
  <c r="AK13"/>
  <c r="AK20"/>
  <c r="AK12"/>
  <c r="AK17"/>
  <c r="AK16"/>
  <c r="AL10"/>
  <c r="AB39"/>
  <c r="AF18" i="4"/>
  <c r="AF17"/>
  <c r="AF20"/>
  <c r="AF22"/>
  <c r="AF21"/>
  <c r="AF19"/>
  <c r="AF13"/>
  <c r="AF15"/>
  <c r="AF12"/>
  <c r="AF14"/>
  <c r="AF16"/>
  <c r="AF11"/>
  <c r="W39"/>
  <c r="AG10"/>
  <c r="AK10" i="12" l="1"/>
  <c r="AA39"/>
  <c r="AJ20"/>
  <c r="AJ23"/>
  <c r="AJ21"/>
  <c r="AJ22"/>
  <c r="AJ16"/>
  <c r="AJ14"/>
  <c r="AJ17"/>
  <c r="AJ18"/>
  <c r="AJ19"/>
  <c r="AJ15"/>
  <c r="AJ11"/>
  <c r="AJ24"/>
  <c r="AJ13"/>
  <c r="AJ12"/>
  <c r="AM10" i="10"/>
  <c r="AC39"/>
  <c r="AL24"/>
  <c r="AL18"/>
  <c r="AL17"/>
  <c r="AL11"/>
  <c r="AL22"/>
  <c r="AL21"/>
  <c r="AL19"/>
  <c r="AL20"/>
  <c r="AL12"/>
  <c r="AL15"/>
  <c r="AL13"/>
  <c r="AL16"/>
  <c r="AL23"/>
  <c r="AL14"/>
  <c r="AG17" i="4"/>
  <c r="AG18"/>
  <c r="AG21"/>
  <c r="AG19"/>
  <c r="AG22"/>
  <c r="AG20"/>
  <c r="AG12"/>
  <c r="AG14"/>
  <c r="AG16"/>
  <c r="AG11"/>
  <c r="AG13"/>
  <c r="AG15"/>
  <c r="AH10"/>
  <c r="X39"/>
  <c r="AL10" i="12" l="1"/>
  <c r="AB39"/>
  <c r="AK23"/>
  <c r="AK19"/>
  <c r="AK18"/>
  <c r="AK24"/>
  <c r="AK15"/>
  <c r="AK22"/>
  <c r="AK14"/>
  <c r="AK21"/>
  <c r="AK13"/>
  <c r="AK20"/>
  <c r="AK12"/>
  <c r="AK17"/>
  <c r="AK11"/>
  <c r="AK16"/>
  <c r="AN10" i="10"/>
  <c r="AD39"/>
  <c r="AM19"/>
  <c r="AM15"/>
  <c r="AM13"/>
  <c r="AM18"/>
  <c r="AM21"/>
  <c r="AM12"/>
  <c r="AM11"/>
  <c r="AM23"/>
  <c r="AM14"/>
  <c r="AM20"/>
  <c r="AM16"/>
  <c r="AM17"/>
  <c r="AM24"/>
  <c r="AM22"/>
  <c r="AH18" i="4"/>
  <c r="AH17"/>
  <c r="AH19"/>
  <c r="AH22"/>
  <c r="AH20"/>
  <c r="AH21"/>
  <c r="AH13"/>
  <c r="AH15"/>
  <c r="AH12"/>
  <c r="AH14"/>
  <c r="AH16"/>
  <c r="AH11"/>
  <c r="AI10"/>
  <c r="Y39"/>
  <c r="AM10" i="12" l="1"/>
  <c r="AC39"/>
  <c r="AL24"/>
  <c r="AL22"/>
  <c r="AL15"/>
  <c r="AL11"/>
  <c r="AL23"/>
  <c r="AL17"/>
  <c r="AL12"/>
  <c r="AL20"/>
  <c r="AL18"/>
  <c r="AL14"/>
  <c r="AL13"/>
  <c r="AL16"/>
  <c r="AL21"/>
  <c r="AL19"/>
  <c r="AE39" i="10"/>
  <c r="AO10"/>
  <c r="AN22"/>
  <c r="AN16"/>
  <c r="AN19"/>
  <c r="AN21"/>
  <c r="AN20"/>
  <c r="AN11"/>
  <c r="AN15"/>
  <c r="AN18"/>
  <c r="AN13"/>
  <c r="AN14"/>
  <c r="AN12"/>
  <c r="AN24"/>
  <c r="AN17"/>
  <c r="AN23"/>
  <c r="AI18" i="4"/>
  <c r="AI17"/>
  <c r="AI20"/>
  <c r="AI21"/>
  <c r="AI22"/>
  <c r="AI19"/>
  <c r="AI12"/>
  <c r="AI14"/>
  <c r="AI16"/>
  <c r="AI11"/>
  <c r="AI13"/>
  <c r="AI15"/>
  <c r="AJ10"/>
  <c r="Z39"/>
  <c r="AD39" i="12" l="1"/>
  <c r="AN10"/>
  <c r="AM21"/>
  <c r="AM12"/>
  <c r="AM11"/>
  <c r="AM24"/>
  <c r="AM14"/>
  <c r="AM18"/>
  <c r="AM16"/>
  <c r="AM17"/>
  <c r="AM23"/>
  <c r="AM13"/>
  <c r="AM19"/>
  <c r="AM15"/>
  <c r="AM22"/>
  <c r="AM20"/>
  <c r="AO17" i="10"/>
  <c r="AO13"/>
  <c r="AO18"/>
  <c r="AO23"/>
  <c r="AO20"/>
  <c r="AO19"/>
  <c r="AO24"/>
  <c r="AO15"/>
  <c r="AO11"/>
  <c r="AO14"/>
  <c r="AO21"/>
  <c r="AO16"/>
  <c r="AO22"/>
  <c r="AO12"/>
  <c r="AF39"/>
  <c r="AP10"/>
  <c r="AJ18" i="4"/>
  <c r="AJ17"/>
  <c r="AJ19"/>
  <c r="AJ22"/>
  <c r="AJ20"/>
  <c r="AJ21"/>
  <c r="AI23"/>
  <c r="AJ13"/>
  <c r="AJ15"/>
  <c r="AJ12"/>
  <c r="AJ14"/>
  <c r="AJ16"/>
  <c r="AJ11"/>
  <c r="AA39"/>
  <c r="AK10"/>
  <c r="AN22" i="12" l="1"/>
  <c r="AN16"/>
  <c r="AN13"/>
  <c r="AN14"/>
  <c r="AN23"/>
  <c r="AN11"/>
  <c r="AN18"/>
  <c r="AN24"/>
  <c r="AN21"/>
  <c r="AN12"/>
  <c r="AN17"/>
  <c r="AN20"/>
  <c r="AN15"/>
  <c r="AN19"/>
  <c r="AE39"/>
  <c r="AO10"/>
  <c r="AP24" i="10"/>
  <c r="AP22"/>
  <c r="AP23"/>
  <c r="AP11"/>
  <c r="AP16"/>
  <c r="AP21"/>
  <c r="AP12"/>
  <c r="AP20"/>
  <c r="AP18"/>
  <c r="AP15"/>
  <c r="AP13"/>
  <c r="AP14"/>
  <c r="AP19"/>
  <c r="AP17"/>
  <c r="AQ10"/>
  <c r="AG39"/>
  <c r="AK17" i="4"/>
  <c r="AK18"/>
  <c r="AI24"/>
  <c r="AK20"/>
  <c r="AK21"/>
  <c r="AK22"/>
  <c r="AK19"/>
  <c r="AJ23"/>
  <c r="AK12"/>
  <c r="AK14"/>
  <c r="AK16"/>
  <c r="AK11"/>
  <c r="AK13"/>
  <c r="AK15"/>
  <c r="AB39"/>
  <c r="AL10"/>
  <c r="AO23" i="12" l="1"/>
  <c r="AO20"/>
  <c r="AO24"/>
  <c r="AO14"/>
  <c r="AO15"/>
  <c r="AO11"/>
  <c r="AO18"/>
  <c r="AO21"/>
  <c r="AO16"/>
  <c r="AO19"/>
  <c r="AO12"/>
  <c r="AO17"/>
  <c r="AO13"/>
  <c r="AO22"/>
  <c r="AP10"/>
  <c r="AF39"/>
  <c r="AH39" i="10"/>
  <c r="AR10"/>
  <c r="AQ19"/>
  <c r="AQ12"/>
  <c r="AQ15"/>
  <c r="AQ20"/>
  <c r="AQ16"/>
  <c r="AQ22"/>
  <c r="AQ23"/>
  <c r="AQ24"/>
  <c r="AQ13"/>
  <c r="AQ18"/>
  <c r="AQ21"/>
  <c r="AQ11"/>
  <c r="AQ14"/>
  <c r="AQ17"/>
  <c r="AL18" i="4"/>
  <c r="AL17"/>
  <c r="AJ24"/>
  <c r="AL19"/>
  <c r="AL22"/>
  <c r="AL20"/>
  <c r="AL21"/>
  <c r="AK23"/>
  <c r="AK24" s="1"/>
  <c r="AL13"/>
  <c r="AL15"/>
  <c r="AL12"/>
  <c r="AL14"/>
  <c r="AL16"/>
  <c r="AL11"/>
  <c r="AC39"/>
  <c r="AM10"/>
  <c r="AP16" i="12" l="1"/>
  <c r="AP18"/>
  <c r="AP21"/>
  <c r="AP12"/>
  <c r="AP22"/>
  <c r="AP23"/>
  <c r="AP14"/>
  <c r="AP17"/>
  <c r="AP24"/>
  <c r="AP19"/>
  <c r="AP15"/>
  <c r="AP20"/>
  <c r="AP13"/>
  <c r="AP11"/>
  <c r="AG39"/>
  <c r="AQ10"/>
  <c r="AR22" i="10"/>
  <c r="AR17"/>
  <c r="AR12"/>
  <c r="AR14"/>
  <c r="AR13"/>
  <c r="AR18"/>
  <c r="AR15"/>
  <c r="AR11"/>
  <c r="AR19"/>
  <c r="AR23"/>
  <c r="AR24"/>
  <c r="AR20"/>
  <c r="AR21"/>
  <c r="AR16"/>
  <c r="AS10"/>
  <c r="AI39"/>
  <c r="AM17" i="4"/>
  <c r="AM18"/>
  <c r="AM20"/>
  <c r="AM21"/>
  <c r="AM19"/>
  <c r="AM22"/>
  <c r="AL23"/>
  <c r="AL24" s="1"/>
  <c r="AM12"/>
  <c r="AM14"/>
  <c r="AM16"/>
  <c r="AM11"/>
  <c r="AM13"/>
  <c r="AM15"/>
  <c r="AD39"/>
  <c r="AN10"/>
  <c r="AH39" i="12" l="1"/>
  <c r="AR10"/>
  <c r="AQ19"/>
  <c r="AQ18"/>
  <c r="AQ17"/>
  <c r="AQ11"/>
  <c r="AQ23"/>
  <c r="AQ20"/>
  <c r="AQ21"/>
  <c r="AQ24"/>
  <c r="AQ14"/>
  <c r="AQ15"/>
  <c r="AQ13"/>
  <c r="AQ12"/>
  <c r="AQ22"/>
  <c r="AQ16"/>
  <c r="AJ39" i="10"/>
  <c r="AT10"/>
  <c r="AS23"/>
  <c r="AS24"/>
  <c r="AS16"/>
  <c r="AS22"/>
  <c r="AS20"/>
  <c r="AS21"/>
  <c r="AS13"/>
  <c r="AS14"/>
  <c r="AS12"/>
  <c r="AS17"/>
  <c r="AS11"/>
  <c r="AS18"/>
  <c r="AS15"/>
  <c r="AS19"/>
  <c r="AN18" i="4"/>
  <c r="AN17"/>
  <c r="AN19"/>
  <c r="AN22"/>
  <c r="AN20"/>
  <c r="AN21"/>
  <c r="AM23"/>
  <c r="AM24" s="1"/>
  <c r="AN13"/>
  <c r="AN15"/>
  <c r="AN12"/>
  <c r="AN14"/>
  <c r="AN16"/>
  <c r="AN11"/>
  <c r="AO10"/>
  <c r="AE39"/>
  <c r="AR24" i="12" l="1"/>
  <c r="AR12"/>
  <c r="AR11"/>
  <c r="AR15"/>
  <c r="AR23"/>
  <c r="AR21"/>
  <c r="AR20"/>
  <c r="AR19"/>
  <c r="AR22"/>
  <c r="AR17"/>
  <c r="AR16"/>
  <c r="AR13"/>
  <c r="AR18"/>
  <c r="AR14"/>
  <c r="AI39"/>
  <c r="AS10"/>
  <c r="AT24" i="10"/>
  <c r="AT14"/>
  <c r="AT18"/>
  <c r="AT23"/>
  <c r="AT17"/>
  <c r="AT20"/>
  <c r="AT12"/>
  <c r="AT11"/>
  <c r="AT15"/>
  <c r="AT16"/>
  <c r="AT21"/>
  <c r="AT13"/>
  <c r="AT19"/>
  <c r="AT22"/>
  <c r="AK39"/>
  <c r="AU10"/>
  <c r="AO17" i="4"/>
  <c r="AO18"/>
  <c r="AO20"/>
  <c r="AO21"/>
  <c r="AO22"/>
  <c r="AO19"/>
  <c r="AN23"/>
  <c r="AN24" s="1"/>
  <c r="AO12"/>
  <c r="AO14"/>
  <c r="AO16"/>
  <c r="AO11"/>
  <c r="AO13"/>
  <c r="AO15"/>
  <c r="AP10"/>
  <c r="AF39"/>
  <c r="AJ39" i="12" l="1"/>
  <c r="AT10"/>
  <c r="AS23"/>
  <c r="AS13"/>
  <c r="AS14"/>
  <c r="AS18"/>
  <c r="AS17"/>
  <c r="AS20"/>
  <c r="AS24"/>
  <c r="AS21"/>
  <c r="AS11"/>
  <c r="AS19"/>
  <c r="AS12"/>
  <c r="AS15"/>
  <c r="AS16"/>
  <c r="AS22"/>
  <c r="AU16" i="10"/>
  <c r="AU18"/>
  <c r="AU11"/>
  <c r="AU22"/>
  <c r="AU17"/>
  <c r="AU14"/>
  <c r="AU13"/>
  <c r="AU23"/>
  <c r="AU19"/>
  <c r="AU12"/>
  <c r="AU15"/>
  <c r="AU24"/>
  <c r="AU20"/>
  <c r="AU21"/>
  <c r="AV10"/>
  <c r="AL39"/>
  <c r="AP18" i="4"/>
  <c r="AP17"/>
  <c r="AP19"/>
  <c r="AP22"/>
  <c r="AP20"/>
  <c r="AP21"/>
  <c r="AO23"/>
  <c r="AO24" s="1"/>
  <c r="AP13"/>
  <c r="AP15"/>
  <c r="AP12"/>
  <c r="AP14"/>
  <c r="AP16"/>
  <c r="AP11"/>
  <c r="AG39"/>
  <c r="AQ10"/>
  <c r="AT24" i="12" l="1"/>
  <c r="AT19"/>
  <c r="AT11"/>
  <c r="AT12"/>
  <c r="AT16"/>
  <c r="AT21"/>
  <c r="AT22"/>
  <c r="AT20"/>
  <c r="AT14"/>
  <c r="AT13"/>
  <c r="AT15"/>
  <c r="AT23"/>
  <c r="AT17"/>
  <c r="AT18"/>
  <c r="AK39"/>
  <c r="AU10"/>
  <c r="AM39" i="10"/>
  <c r="AW10"/>
  <c r="AV19"/>
  <c r="AV15"/>
  <c r="AV11"/>
  <c r="AV17"/>
  <c r="AV23"/>
  <c r="AV13"/>
  <c r="AV14"/>
  <c r="AV22"/>
  <c r="AV21"/>
  <c r="AV20"/>
  <c r="AV24"/>
  <c r="AV18"/>
  <c r="AV16"/>
  <c r="AV12"/>
  <c r="AQ18" i="4"/>
  <c r="AQ17"/>
  <c r="AP23"/>
  <c r="AP24" s="1"/>
  <c r="AQ20"/>
  <c r="AQ21"/>
  <c r="AQ19"/>
  <c r="AQ22"/>
  <c r="AQ12"/>
  <c r="AQ14"/>
  <c r="AQ16"/>
  <c r="AQ11"/>
  <c r="AQ13"/>
  <c r="AQ15"/>
  <c r="AH39"/>
  <c r="AR10"/>
  <c r="AU19" i="12" l="1"/>
  <c r="AU14"/>
  <c r="AU13"/>
  <c r="AU17"/>
  <c r="AU20"/>
  <c r="AU22"/>
  <c r="AU15"/>
  <c r="AU18"/>
  <c r="AU24"/>
  <c r="AU12"/>
  <c r="AU23"/>
  <c r="AU11"/>
  <c r="AU16"/>
  <c r="AU21"/>
  <c r="AV10"/>
  <c r="AL39"/>
  <c r="AW17" i="10"/>
  <c r="AW13"/>
  <c r="AW14"/>
  <c r="AW18"/>
  <c r="AW16"/>
  <c r="AW15"/>
  <c r="AW11"/>
  <c r="AW20"/>
  <c r="AW23"/>
  <c r="AW22"/>
  <c r="AW24"/>
  <c r="AW12"/>
  <c r="AW21"/>
  <c r="AW19"/>
  <c r="AN39"/>
  <c r="AX10"/>
  <c r="AR18" i="4"/>
  <c r="AR17"/>
  <c r="AR19"/>
  <c r="AR22"/>
  <c r="AR20"/>
  <c r="AR21"/>
  <c r="AQ23"/>
  <c r="AQ24" s="1"/>
  <c r="AR13"/>
  <c r="AR15"/>
  <c r="AR12"/>
  <c r="AR14"/>
  <c r="AR16"/>
  <c r="AR11"/>
  <c r="AI39"/>
  <c r="AS10"/>
  <c r="AW10" i="12" l="1"/>
  <c r="AM39"/>
  <c r="AV22"/>
  <c r="AV21"/>
  <c r="AV20"/>
  <c r="AV11"/>
  <c r="AV19"/>
  <c r="AV15"/>
  <c r="AV12"/>
  <c r="AV24"/>
  <c r="AV18"/>
  <c r="AV17"/>
  <c r="AV16"/>
  <c r="AV14"/>
  <c r="AV23"/>
  <c r="AV13"/>
  <c r="AX24" i="10"/>
  <c r="AX21"/>
  <c r="AX12"/>
  <c r="AX18"/>
  <c r="AX14"/>
  <c r="AX20"/>
  <c r="AX17"/>
  <c r="AX19"/>
  <c r="AX13"/>
  <c r="AX16"/>
  <c r="AX15"/>
  <c r="AX11"/>
  <c r="AX23"/>
  <c r="AX22"/>
  <c r="AO39"/>
  <c r="AY10"/>
  <c r="AS17" i="4"/>
  <c r="AS18"/>
  <c r="AR23"/>
  <c r="AS20"/>
  <c r="AS21"/>
  <c r="AS22"/>
  <c r="AS19"/>
  <c r="AR24"/>
  <c r="AS12"/>
  <c r="AS14"/>
  <c r="AS16"/>
  <c r="AS11"/>
  <c r="AS13"/>
  <c r="AS15"/>
  <c r="AJ39"/>
  <c r="AT10"/>
  <c r="AN39" i="12" l="1"/>
  <c r="AX10"/>
  <c r="AW17"/>
  <c r="AW13"/>
  <c r="AW12"/>
  <c r="AW23"/>
  <c r="AW22"/>
  <c r="AW24"/>
  <c r="AW19"/>
  <c r="AW15"/>
  <c r="AW11"/>
  <c r="AW14"/>
  <c r="AW20"/>
  <c r="AW21"/>
  <c r="AW18"/>
  <c r="AW16"/>
  <c r="AY14" i="10"/>
  <c r="AY22"/>
  <c r="AY23"/>
  <c r="AY13"/>
  <c r="AY12"/>
  <c r="AY18"/>
  <c r="AY15"/>
  <c r="AY19"/>
  <c r="AY20"/>
  <c r="AY17"/>
  <c r="AY21"/>
  <c r="AY24"/>
  <c r="AY16"/>
  <c r="AY11"/>
  <c r="AZ10"/>
  <c r="AP39"/>
  <c r="BA10" s="1"/>
  <c r="AT17" i="4"/>
  <c r="AT18"/>
  <c r="AT19"/>
  <c r="AT22"/>
  <c r="AT20"/>
  <c r="AT21"/>
  <c r="AS23"/>
  <c r="AS24"/>
  <c r="AT13"/>
  <c r="AT15"/>
  <c r="AT12"/>
  <c r="AT14"/>
  <c r="AT16"/>
  <c r="AT11"/>
  <c r="AK39"/>
  <c r="AU10"/>
  <c r="AX24" i="12" l="1"/>
  <c r="AX22"/>
  <c r="AX14"/>
  <c r="AX13"/>
  <c r="AX20"/>
  <c r="AX21"/>
  <c r="AX18"/>
  <c r="AX12"/>
  <c r="AX16"/>
  <c r="AX17"/>
  <c r="AX11"/>
  <c r="AX23"/>
  <c r="AX15"/>
  <c r="AX19"/>
  <c r="AO39"/>
  <c r="AY10"/>
  <c r="BA23" i="10"/>
  <c r="BA19"/>
  <c r="BA18"/>
  <c r="BA20"/>
  <c r="BA22"/>
  <c r="BA21"/>
  <c r="BA13"/>
  <c r="BA24"/>
  <c r="BA12"/>
  <c r="BA17"/>
  <c r="BA11"/>
  <c r="BA14"/>
  <c r="BA15"/>
  <c r="BA16"/>
  <c r="AZ20"/>
  <c r="AZ13"/>
  <c r="AZ24"/>
  <c r="AZ15"/>
  <c r="AZ18"/>
  <c r="AZ12"/>
  <c r="AZ16"/>
  <c r="AZ23"/>
  <c r="AZ21"/>
  <c r="AZ22"/>
  <c r="AZ11"/>
  <c r="AZ17"/>
  <c r="AZ19"/>
  <c r="AZ14"/>
  <c r="AU17" i="4"/>
  <c r="AU18"/>
  <c r="AT23"/>
  <c r="AT24" s="1"/>
  <c r="AU20"/>
  <c r="AU21"/>
  <c r="AU19"/>
  <c r="AU22"/>
  <c r="AU12"/>
  <c r="AU14"/>
  <c r="AU16"/>
  <c r="AU11"/>
  <c r="AU13"/>
  <c r="AU15"/>
  <c r="AV10"/>
  <c r="AL39"/>
  <c r="AY19" i="12" l="1"/>
  <c r="AY12"/>
  <c r="AY11"/>
  <c r="AY17"/>
  <c r="AY14"/>
  <c r="AY18"/>
  <c r="AY24"/>
  <c r="AY20"/>
  <c r="AY22"/>
  <c r="AY13"/>
  <c r="AY23"/>
  <c r="AY16"/>
  <c r="AY15"/>
  <c r="AY21"/>
  <c r="AP39"/>
  <c r="BA10" s="1"/>
  <c r="AZ10"/>
  <c r="AV18" i="4"/>
  <c r="AV17"/>
  <c r="AV19"/>
  <c r="AV22"/>
  <c r="AV20"/>
  <c r="AV21"/>
  <c r="AU23"/>
  <c r="AU24" s="1"/>
  <c r="AV13"/>
  <c r="AV15"/>
  <c r="AV12"/>
  <c r="AV14"/>
  <c r="AV16"/>
  <c r="AV11"/>
  <c r="AM39"/>
  <c r="AW10"/>
  <c r="BA23" i="12" l="1"/>
  <c r="BA22"/>
  <c r="BA18"/>
  <c r="BA20"/>
  <c r="BA17"/>
  <c r="BA13"/>
  <c r="BA24"/>
  <c r="BA11"/>
  <c r="BA21"/>
  <c r="BA19"/>
  <c r="BA14"/>
  <c r="BA16"/>
  <c r="BA15"/>
  <c r="BA12"/>
  <c r="AZ24"/>
  <c r="AZ13"/>
  <c r="AZ17"/>
  <c r="AZ16"/>
  <c r="AZ23"/>
  <c r="AZ21"/>
  <c r="AZ20"/>
  <c r="AZ15"/>
  <c r="AZ14"/>
  <c r="AZ22"/>
  <c r="AZ12"/>
  <c r="AZ18"/>
  <c r="AZ19"/>
  <c r="AZ11"/>
  <c r="AW17" i="4"/>
  <c r="AW18"/>
  <c r="AV23"/>
  <c r="AV24" s="1"/>
  <c r="AW20"/>
  <c r="AW21"/>
  <c r="AW22"/>
  <c r="AW19"/>
  <c r="AW12"/>
  <c r="AW14"/>
  <c r="AW16"/>
  <c r="AW11"/>
  <c r="AW13"/>
  <c r="AW15"/>
  <c r="AN39"/>
  <c r="AX10"/>
  <c r="AX18" l="1"/>
  <c r="AX17"/>
  <c r="AX19"/>
  <c r="AX22"/>
  <c r="AX20"/>
  <c r="AX21"/>
  <c r="AW23"/>
  <c r="AW24" s="1"/>
  <c r="AX13"/>
  <c r="AX15"/>
  <c r="AX12"/>
  <c r="AX14"/>
  <c r="AX16"/>
  <c r="AX11"/>
  <c r="AO39"/>
  <c r="AY10"/>
  <c r="AY17" l="1"/>
  <c r="AY18"/>
  <c r="AX23"/>
  <c r="AX24" s="1"/>
  <c r="AY20"/>
  <c r="AY21"/>
  <c r="AY19"/>
  <c r="AY22"/>
  <c r="AY12"/>
  <c r="AY14"/>
  <c r="AY16"/>
  <c r="AY11"/>
  <c r="AY13"/>
  <c r="AY15"/>
  <c r="AZ10"/>
  <c r="AP39"/>
  <c r="BA10" s="1"/>
  <c r="AZ18" l="1"/>
  <c r="AZ17"/>
  <c r="BA17"/>
  <c r="BA18"/>
  <c r="AZ19"/>
  <c r="AZ22"/>
  <c r="AZ20"/>
  <c r="AZ21"/>
  <c r="BA20"/>
  <c r="BA21"/>
  <c r="BA22"/>
  <c r="BA19"/>
  <c r="AY23"/>
  <c r="AY24" s="1"/>
  <c r="BA12"/>
  <c r="BA14"/>
  <c r="BA16"/>
  <c r="BA11"/>
  <c r="BA13"/>
  <c r="BA15"/>
  <c r="AZ13"/>
  <c r="AZ15"/>
  <c r="AZ12"/>
  <c r="AZ14"/>
  <c r="AZ16"/>
  <c r="AZ11"/>
  <c r="AZ23" l="1"/>
  <c r="AZ24" s="1"/>
  <c r="BA23"/>
  <c r="BA24" l="1"/>
  <c r="X23"/>
  <c r="AB23"/>
  <c r="AF23"/>
  <c r="AE23"/>
  <c r="Z23"/>
  <c r="AC23"/>
  <c r="AG23"/>
  <c r="Y23"/>
  <c r="AD23"/>
  <c r="AH23"/>
  <c r="AA23"/>
  <c r="W23"/>
  <c r="W24" s="1"/>
  <c r="X24" l="1"/>
  <c r="Y24" s="1"/>
  <c r="Z24" s="1"/>
  <c r="AA24" s="1"/>
  <c r="AB24" s="1"/>
  <c r="AC24" s="1"/>
  <c r="AD24" s="1"/>
  <c r="AE24" s="1"/>
  <c r="AF24" s="1"/>
  <c r="AG24" s="1"/>
  <c r="AH24" s="1"/>
</calcChain>
</file>

<file path=xl/comments1.xml><?xml version="1.0" encoding="utf-8"?>
<comments xmlns="http://schemas.openxmlformats.org/spreadsheetml/2006/main">
  <authors>
    <author>bipin.s</author>
    <author>vijay.rachabattuni</author>
  </authors>
  <commentList>
    <comment ref="F25" authorId="0">
      <text>
        <r>
          <rPr>
            <b/>
            <sz val="8"/>
            <color indexed="81"/>
            <rFont val="Tahoma"/>
            <family val="2"/>
          </rPr>
          <t>bipin.s:</t>
        </r>
        <r>
          <rPr>
            <sz val="8"/>
            <color indexed="81"/>
            <rFont val="Tahoma"/>
            <family val="2"/>
          </rPr>
          <t xml:space="preserve">
To be filled at the end of the sprint. Mention the actual status against the planned MICS.</t>
        </r>
      </text>
    </comment>
    <comment ref="J39" authorId="1">
      <text>
        <r>
          <rPr>
            <b/>
            <sz val="9"/>
            <color indexed="81"/>
            <rFont val="Tahoma"/>
            <family val="2"/>
          </rPr>
          <t>vijay.rachabattuni:</t>
        </r>
        <r>
          <rPr>
            <sz val="9"/>
            <color indexed="81"/>
            <rFont val="Tahoma"/>
            <family val="2"/>
          </rPr>
          <t xml:space="preserve">
Don’t fill this colum.
It will be automatically if you updated the effort against each day</t>
        </r>
      </text>
    </comment>
  </commentList>
</comments>
</file>

<file path=xl/comments2.xml><?xml version="1.0" encoding="utf-8"?>
<comments xmlns="http://schemas.openxmlformats.org/spreadsheetml/2006/main">
  <authors>
    <author>bipin.s</author>
    <author>vijay.rachabattuni</author>
  </authors>
  <commentList>
    <comment ref="F25" authorId="0">
      <text>
        <r>
          <rPr>
            <b/>
            <sz val="8"/>
            <color indexed="81"/>
            <rFont val="Tahoma"/>
            <family val="2"/>
          </rPr>
          <t>bipin.s:</t>
        </r>
        <r>
          <rPr>
            <sz val="8"/>
            <color indexed="81"/>
            <rFont val="Tahoma"/>
            <family val="2"/>
          </rPr>
          <t xml:space="preserve">
To be filled at the end of the sprint. Mention the actual status against the planned MICS.</t>
        </r>
      </text>
    </comment>
    <comment ref="J39" authorId="1">
      <text>
        <r>
          <rPr>
            <b/>
            <sz val="9"/>
            <color indexed="81"/>
            <rFont val="Tahoma"/>
            <family val="2"/>
          </rPr>
          <t>vijay.rachabattuni:</t>
        </r>
        <r>
          <rPr>
            <sz val="9"/>
            <color indexed="81"/>
            <rFont val="Tahoma"/>
            <family val="2"/>
          </rPr>
          <t xml:space="preserve">
Don’t fill this colum.
It will be automatically if you updated the effort against each day</t>
        </r>
      </text>
    </comment>
  </commentList>
</comments>
</file>

<file path=xl/comments3.xml><?xml version="1.0" encoding="utf-8"?>
<comments xmlns="http://schemas.openxmlformats.org/spreadsheetml/2006/main">
  <authors>
    <author>bipin.s</author>
    <author>vijay.rachabattuni</author>
  </authors>
  <commentList>
    <comment ref="F25" authorId="0">
      <text>
        <r>
          <rPr>
            <b/>
            <sz val="8"/>
            <color indexed="81"/>
            <rFont val="Tahoma"/>
            <family val="2"/>
          </rPr>
          <t>bipin.s:</t>
        </r>
        <r>
          <rPr>
            <sz val="8"/>
            <color indexed="81"/>
            <rFont val="Tahoma"/>
            <family val="2"/>
          </rPr>
          <t xml:space="preserve">
To be filled at the end of the sprint. Mention the actual status against the planned MICS.</t>
        </r>
      </text>
    </comment>
    <comment ref="J39" authorId="1">
      <text>
        <r>
          <rPr>
            <b/>
            <sz val="9"/>
            <color indexed="81"/>
            <rFont val="Tahoma"/>
            <family val="2"/>
          </rPr>
          <t>vijay.rachabattuni:</t>
        </r>
        <r>
          <rPr>
            <sz val="9"/>
            <color indexed="81"/>
            <rFont val="Tahoma"/>
            <family val="2"/>
          </rPr>
          <t xml:space="preserve">
Don’t fill this colum.
It will be automatically if you updated the effort against each day</t>
        </r>
      </text>
    </comment>
  </commentList>
</comments>
</file>

<file path=xl/sharedStrings.xml><?xml version="1.0" encoding="utf-8"?>
<sst xmlns="http://schemas.openxmlformats.org/spreadsheetml/2006/main" count="398" uniqueCount="190">
  <si>
    <t>Task Status</t>
  </si>
  <si>
    <t>Task Type</t>
  </si>
  <si>
    <t>Picked By</t>
  </si>
  <si>
    <t>Task description</t>
  </si>
  <si>
    <t>Task ID</t>
  </si>
  <si>
    <t>Story ID</t>
  </si>
  <si>
    <t>Tasks</t>
  </si>
  <si>
    <t>System Tests are executed and defects added to product backlog.</t>
  </si>
  <si>
    <t>System test cases are prepared and reviewed</t>
  </si>
  <si>
    <t>Validation</t>
  </si>
  <si>
    <t>Yes</t>
  </si>
  <si>
    <t>Release notes are prepared are reviewed.</t>
  </si>
  <si>
    <t>Gate Review is conducted and approved.</t>
  </si>
  <si>
    <t>Gate Review</t>
  </si>
  <si>
    <t>Release</t>
  </si>
  <si>
    <t>Tests executed and all tests pass.</t>
  </si>
  <si>
    <t>Group Review completed and comments incorporated.</t>
  </si>
  <si>
    <t>Static code check test pass as per the set criteria.</t>
  </si>
  <si>
    <t>Tests are written, group reviewed and comments incorporated.</t>
  </si>
  <si>
    <t>Automated build system is established.</t>
  </si>
  <si>
    <t>Coding</t>
  </si>
  <si>
    <t>Non functional requirements are discussed and corresponding stories are added to Product Backlog.</t>
  </si>
  <si>
    <t>Acceptance Test Cases are detailed</t>
  </si>
  <si>
    <t>Stories</t>
  </si>
  <si>
    <t>Actual</t>
  </si>
  <si>
    <t>MICS</t>
  </si>
  <si>
    <t>DoD</t>
  </si>
  <si>
    <t>Phase</t>
  </si>
  <si>
    <t>Item</t>
  </si>
  <si>
    <t>Actual Effort</t>
  </si>
  <si>
    <t>Day</t>
  </si>
  <si>
    <t>Timesheets</t>
  </si>
  <si>
    <t>Total</t>
  </si>
  <si>
    <t>NotStarted</t>
  </si>
  <si>
    <t>Deferred</t>
  </si>
  <si>
    <t>InProgress</t>
  </si>
  <si>
    <t>Completed</t>
  </si>
  <si>
    <t>EffortType</t>
  </si>
  <si>
    <t>Names</t>
  </si>
  <si>
    <t>Status</t>
  </si>
  <si>
    <t>Analysis</t>
  </si>
  <si>
    <t>Design</t>
  </si>
  <si>
    <t>Vijay</t>
  </si>
  <si>
    <t>Team</t>
  </si>
  <si>
    <t>Priority</t>
  </si>
  <si>
    <t>High</t>
  </si>
  <si>
    <t>Medium</t>
  </si>
  <si>
    <t>Low</t>
  </si>
  <si>
    <t>Est</t>
  </si>
  <si>
    <t>Effort</t>
  </si>
  <si>
    <t>Duration</t>
  </si>
  <si>
    <t>Start date</t>
  </si>
  <si>
    <t>End date</t>
  </si>
  <si>
    <t>Sp Details</t>
  </si>
  <si>
    <t>Story
 Elaboration</t>
  </si>
  <si>
    <t>Name</t>
  </si>
  <si>
    <t>Rem Effort</t>
  </si>
  <si>
    <t>Holidays</t>
  </si>
  <si>
    <t>Modifiable</t>
  </si>
  <si>
    <t>S No</t>
  </si>
  <si>
    <t>Duration
(Days)</t>
  </si>
  <si>
    <t>Start
Date</t>
  </si>
  <si>
    <t>End
Date</t>
  </si>
  <si>
    <t>Effort
(Hrs)</t>
  </si>
  <si>
    <t>Est
(Hrs)</t>
  </si>
  <si>
    <t>Sprint
Name</t>
  </si>
  <si>
    <t>Est (Hrs)</t>
  </si>
  <si>
    <t>Effort(Hrs)</t>
  </si>
  <si>
    <t>UI</t>
  </si>
  <si>
    <t>App</t>
  </si>
  <si>
    <t>MW</t>
  </si>
  <si>
    <t>HAL</t>
  </si>
  <si>
    <t>Impediment</t>
  </si>
  <si>
    <t>Identified in Sprint</t>
  </si>
  <si>
    <t>Author</t>
  </si>
  <si>
    <t>Start Date</t>
  </si>
  <si>
    <t>End Date</t>
  </si>
  <si>
    <t>Planned</t>
  </si>
  <si>
    <t>Actual End Date</t>
  </si>
  <si>
    <t>Closed in Sprint</t>
  </si>
  <si>
    <t>Project Name</t>
  </si>
  <si>
    <t>Customer</t>
  </si>
  <si>
    <t>Email id</t>
  </si>
  <si>
    <t>Role</t>
  </si>
  <si>
    <t>Project Joining Date</t>
  </si>
  <si>
    <t>Project Leaving Date</t>
  </si>
  <si>
    <t>Contact No</t>
  </si>
  <si>
    <t>Designation</t>
  </si>
  <si>
    <t>Reporting to</t>
  </si>
  <si>
    <t>Scrum Master</t>
  </si>
  <si>
    <t>Product Owner</t>
  </si>
  <si>
    <t>Sprint</t>
  </si>
  <si>
    <t>What went wrong?</t>
  </si>
  <si>
    <t>What went well?</t>
  </si>
  <si>
    <t>What can be improved in next sprint?</t>
  </si>
  <si>
    <t>Remarks</t>
  </si>
  <si>
    <t xml:space="preserve">Status </t>
  </si>
  <si>
    <t>Expertise</t>
  </si>
  <si>
    <t>Story</t>
  </si>
  <si>
    <t>Start in Sprint</t>
  </si>
  <si>
    <t>End in Sprint</t>
  </si>
  <si>
    <t>Milestone</t>
  </si>
  <si>
    <t>Tony</t>
  </si>
  <si>
    <t>Team Member</t>
  </si>
  <si>
    <t>zugwan@gmail.com</t>
  </si>
  <si>
    <t>ddestiny82@gmail.com</t>
  </si>
  <si>
    <t>xingri@gmail.com</t>
  </si>
  <si>
    <t>kyunglang@gmail.com</t>
  </si>
  <si>
    <t>vijayr123@gmail.com</t>
  </si>
  <si>
    <t>cleaneye@gmail.com</t>
  </si>
  <si>
    <t>al45@andrew.cmu.edu</t>
  </si>
  <si>
    <t>WWC_Spartan</t>
  </si>
  <si>
    <t>Project Details</t>
  </si>
  <si>
    <t>Refer ADS</t>
  </si>
  <si>
    <t>Sp1</t>
  </si>
  <si>
    <t>TommyPark</t>
  </si>
  <si>
    <t>SungeunKim</t>
  </si>
  <si>
    <t>ByungseonShin</t>
  </si>
  <si>
    <t>JugwanEom</t>
  </si>
  <si>
    <t>JinyoungDu</t>
  </si>
  <si>
    <t>Planning</t>
  </si>
  <si>
    <t>Implementation</t>
  </si>
  <si>
    <t>Testing</t>
  </si>
  <si>
    <t>`</t>
  </si>
  <si>
    <t>Plan</t>
  </si>
  <si>
    <t>DB</t>
  </si>
  <si>
    <t>Cust App</t>
  </si>
  <si>
    <t>Supervisor App</t>
  </si>
  <si>
    <t>Id</t>
  </si>
  <si>
    <t>WTC-01</t>
  </si>
  <si>
    <t>Fetch the widgets from the Inventory</t>
  </si>
  <si>
    <t>WTC-02</t>
  </si>
  <si>
    <t>Display the Type of the Widgets</t>
  </si>
  <si>
    <t>WTC-03</t>
  </si>
  <si>
    <t>Send the order to the Warehouse</t>
  </si>
  <si>
    <t>WTC-04</t>
  </si>
  <si>
    <t>Display the status of order</t>
  </si>
  <si>
    <t>WTC-05</t>
  </si>
  <si>
    <t>Error handling</t>
  </si>
  <si>
    <t>WTS-01</t>
  </si>
  <si>
    <t>display the Order status</t>
  </si>
  <si>
    <t>WTS-02</t>
  </si>
  <si>
    <t>provide an interface to handle backordered order</t>
  </si>
  <si>
    <t>WTS-03</t>
  </si>
  <si>
    <t>provide an interface to create new inventory entry for Inventory Stations</t>
  </si>
  <si>
    <t>WTS-04</t>
  </si>
  <si>
    <t>The Supervisor Application shall provide an interface to add the number of widgets in Inventory Stations.</t>
  </si>
  <si>
    <t>WTS-05</t>
  </si>
  <si>
    <t>display the robot information</t>
  </si>
  <si>
    <t>WTS-06</t>
  </si>
  <si>
    <t>When an error happens, the supervisor can order recovery action.</t>
  </si>
  <si>
    <t>WTS-07</t>
  </si>
  <si>
    <t>display the Inventory information</t>
  </si>
  <si>
    <t>WTW-01</t>
  </si>
  <si>
    <t xml:space="preserve">shall take the orders from the customers </t>
  </si>
  <si>
    <t>WTW-02</t>
  </si>
  <si>
    <t>maintain customer orders with Queue (FIFO)</t>
  </si>
  <si>
    <t>WTW-03</t>
  </si>
  <si>
    <t>Maintain backordered orders with another Queue.</t>
  </si>
  <si>
    <t>WTW-04</t>
  </si>
  <si>
    <t>move the robot to the next station till all the items of the order are loaded</t>
  </si>
  <si>
    <t>the warehouse system debits corresponding widgets from entries in Inventory</t>
  </si>
  <si>
    <t>WTW-05</t>
  </si>
  <si>
    <t>move the robot to the shipping station after the order is filled</t>
  </si>
  <si>
    <t>WTW-06</t>
  </si>
  <si>
    <t>History of the stations visited by robot</t>
  </si>
  <si>
    <t>WTW-07</t>
  </si>
  <si>
    <t>Updation of order status</t>
  </si>
  <si>
    <t>WTW-08</t>
  </si>
  <si>
    <t>Updation of overall status</t>
  </si>
  <si>
    <t>WTR-01</t>
  </si>
  <si>
    <t>Move forward</t>
  </si>
  <si>
    <t>WTR-02</t>
  </si>
  <si>
    <t>Move backward</t>
  </si>
  <si>
    <t>WTR-03</t>
  </si>
  <si>
    <t>Turn left</t>
  </si>
  <si>
    <t>WTR-04</t>
  </si>
  <si>
    <t>Turn right</t>
  </si>
  <si>
    <t>WTR-05</t>
  </si>
  <si>
    <t>Stop</t>
  </si>
  <si>
    <t>WTD-01</t>
  </si>
  <si>
    <t>Table for Customers</t>
  </si>
  <si>
    <t>WTD-02</t>
  </si>
  <si>
    <t>Table for Orders</t>
  </si>
  <si>
    <t>WTD-03</t>
  </si>
  <si>
    <t>Table for OrderDetails</t>
  </si>
  <si>
    <t>WTD-04</t>
  </si>
  <si>
    <t>Table for Widgets</t>
  </si>
  <si>
    <t>Sp2</t>
  </si>
  <si>
    <t>Integration</t>
    <phoneticPr fontId="15" type="noConversion"/>
  </si>
</sst>
</file>

<file path=xl/styles.xml><?xml version="1.0" encoding="utf-8"?>
<styleSheet xmlns="http://schemas.openxmlformats.org/spreadsheetml/2006/main">
  <numFmts count="3">
    <numFmt numFmtId="176" formatCode="[$-409]dd\-mmm\-yy;@"/>
    <numFmt numFmtId="177" formatCode="[$-409]d\-mmm\-yy;@"/>
    <numFmt numFmtId="178" formatCode="0;\-0;;@\ "/>
  </numFmts>
  <fonts count="16">
    <font>
      <sz val="11"/>
      <color theme="1"/>
      <name val="맑은 고딕"/>
      <family val="2"/>
      <scheme val="minor"/>
    </font>
    <font>
      <sz val="10"/>
      <name val="Arial"/>
      <family val="2"/>
    </font>
    <font>
      <sz val="10"/>
      <color rgb="FF000000"/>
      <name val="Arial"/>
      <family val="2"/>
    </font>
    <font>
      <b/>
      <sz val="10"/>
      <name val="Arial"/>
      <family val="2"/>
    </font>
    <font>
      <b/>
      <sz val="9"/>
      <name val="Arial"/>
      <family val="2"/>
    </font>
    <font>
      <b/>
      <sz val="14"/>
      <name val="Arial"/>
      <family val="2"/>
    </font>
    <font>
      <b/>
      <sz val="12"/>
      <name val="Arial"/>
      <family val="2"/>
    </font>
    <font>
      <b/>
      <sz val="8"/>
      <color indexed="81"/>
      <name val="Tahoma"/>
      <family val="2"/>
    </font>
    <font>
      <sz val="8"/>
      <color indexed="81"/>
      <name val="Tahoma"/>
      <family val="2"/>
    </font>
    <font>
      <b/>
      <sz val="11"/>
      <name val="Arial"/>
      <family val="2"/>
    </font>
    <font>
      <b/>
      <sz val="11"/>
      <color theme="1"/>
      <name val="맑은 고딕"/>
      <family val="2"/>
      <scheme val="minor"/>
    </font>
    <font>
      <u/>
      <sz val="11"/>
      <color theme="10"/>
      <name val="맑은 고딕"/>
      <family val="2"/>
      <scheme val="minor"/>
    </font>
    <font>
      <sz val="9"/>
      <color indexed="81"/>
      <name val="Tahoma"/>
      <family val="2"/>
    </font>
    <font>
      <b/>
      <sz val="9"/>
      <color indexed="81"/>
      <name val="Tahoma"/>
      <family val="2"/>
    </font>
    <font>
      <sz val="10"/>
      <color theme="1"/>
      <name val="Arial"/>
      <family val="2"/>
    </font>
    <font>
      <sz val="8"/>
      <name val="맑은 고딕"/>
      <family val="3"/>
      <charset val="129"/>
      <scheme val="minor"/>
    </font>
  </fonts>
  <fills count="9">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2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
    <xf numFmtId="0" fontId="0" fillId="0" borderId="0"/>
    <xf numFmtId="0" fontId="1" fillId="0" borderId="0"/>
    <xf numFmtId="0" fontId="1" fillId="0" borderId="0"/>
    <xf numFmtId="0" fontId="11" fillId="0" borderId="0" applyNumberFormat="0" applyFill="0" applyBorder="0" applyAlignment="0" applyProtection="0"/>
  </cellStyleXfs>
  <cellXfs count="86">
    <xf numFmtId="0" fontId="0" fillId="0" borderId="0" xfId="0"/>
    <xf numFmtId="0" fontId="1" fillId="2" borderId="0" xfId="1" applyFill="1" applyProtection="1">
      <protection locked="0"/>
    </xf>
    <xf numFmtId="0" fontId="1" fillId="2" borderId="0" xfId="1" applyFill="1" applyAlignment="1" applyProtection="1">
      <alignment wrapText="1"/>
      <protection locked="0"/>
    </xf>
    <xf numFmtId="0" fontId="1" fillId="2" borderId="0" xfId="1" applyFill="1" applyAlignment="1" applyProtection="1">
      <alignment horizontal="center" wrapText="1"/>
      <protection locked="0"/>
    </xf>
    <xf numFmtId="0" fontId="1" fillId="2" borderId="1" xfId="1" applyFont="1" applyFill="1" applyBorder="1" applyAlignment="1" applyProtection="1">
      <alignment horizontal="center" wrapText="1"/>
      <protection locked="0"/>
    </xf>
    <xf numFmtId="0" fontId="1" fillId="2" borderId="1" xfId="1" applyFont="1" applyFill="1" applyBorder="1" applyAlignment="1" applyProtection="1">
      <alignment wrapText="1"/>
      <protection locked="0"/>
    </xf>
    <xf numFmtId="0" fontId="2" fillId="0" borderId="1" xfId="1" applyFont="1" applyBorder="1" applyProtection="1">
      <protection locked="0"/>
    </xf>
    <xf numFmtId="0" fontId="1" fillId="2" borderId="0" xfId="1" applyFill="1" applyProtection="1"/>
    <xf numFmtId="0" fontId="1" fillId="2" borderId="0" xfId="1" applyFill="1" applyAlignment="1" applyProtection="1">
      <alignment wrapText="1"/>
    </xf>
    <xf numFmtId="0" fontId="1" fillId="2" borderId="0" xfId="1" applyFill="1" applyAlignment="1" applyProtection="1">
      <alignment horizontal="center" wrapText="1"/>
    </xf>
    <xf numFmtId="0" fontId="3" fillId="3" borderId="1" xfId="1" applyFont="1" applyFill="1" applyBorder="1" applyAlignment="1" applyProtection="1">
      <alignment horizontal="center" vertical="center" wrapText="1"/>
    </xf>
    <xf numFmtId="0" fontId="5" fillId="2" borderId="0" xfId="1" applyFont="1" applyFill="1" applyProtection="1"/>
    <xf numFmtId="0" fontId="1" fillId="2" borderId="0" xfId="1" applyFill="1" applyBorder="1" applyAlignment="1" applyProtection="1">
      <alignment horizontal="center" wrapText="1"/>
    </xf>
    <xf numFmtId="0" fontId="1" fillId="2" borderId="1" xfId="1" applyFill="1" applyBorder="1" applyAlignment="1" applyProtection="1">
      <alignment horizontal="center" wrapText="1"/>
      <protection locked="0"/>
    </xf>
    <xf numFmtId="0" fontId="3" fillId="3" borderId="1" xfId="1" applyFont="1" applyFill="1" applyBorder="1" applyAlignment="1" applyProtection="1">
      <alignment horizontal="center" vertical="top" wrapText="1"/>
    </xf>
    <xf numFmtId="0" fontId="3" fillId="3" borderId="1" xfId="1" applyFont="1" applyFill="1" applyBorder="1" applyAlignment="1" applyProtection="1">
      <alignment horizontal="center" vertical="top"/>
    </xf>
    <xf numFmtId="0" fontId="1" fillId="3" borderId="1" xfId="1" applyFont="1" applyFill="1" applyBorder="1" applyProtection="1"/>
    <xf numFmtId="0" fontId="1" fillId="2" borderId="1" xfId="1" applyFont="1" applyFill="1" applyBorder="1" applyAlignment="1" applyProtection="1">
      <alignment horizontal="left" wrapText="1"/>
    </xf>
    <xf numFmtId="0" fontId="1" fillId="2" borderId="1" xfId="1" applyFill="1" applyBorder="1" applyAlignment="1" applyProtection="1">
      <alignment horizontal="left" wrapText="1"/>
    </xf>
    <xf numFmtId="0" fontId="1" fillId="3" borderId="5" xfId="1" applyFill="1" applyBorder="1" applyAlignment="1" applyProtection="1">
      <alignment wrapText="1"/>
    </xf>
    <xf numFmtId="0" fontId="3" fillId="3" borderId="6" xfId="1" applyFont="1" applyFill="1" applyBorder="1" applyAlignment="1" applyProtection="1">
      <alignment wrapText="1"/>
    </xf>
    <xf numFmtId="0" fontId="3" fillId="4" borderId="1" xfId="0" applyFont="1" applyFill="1" applyBorder="1"/>
    <xf numFmtId="0" fontId="1" fillId="0" borderId="1" xfId="0" applyFont="1" applyBorder="1"/>
    <xf numFmtId="0" fontId="1" fillId="0" borderId="1" xfId="0" applyFont="1" applyFill="1" applyBorder="1"/>
    <xf numFmtId="0" fontId="0" fillId="0" borderId="1" xfId="0" applyBorder="1"/>
    <xf numFmtId="0" fontId="0" fillId="0" borderId="0" xfId="0" applyBorder="1"/>
    <xf numFmtId="0" fontId="1" fillId="2" borderId="1" xfId="1" applyFill="1" applyBorder="1" applyAlignment="1" applyProtection="1">
      <alignment wrapText="1"/>
      <protection locked="0"/>
    </xf>
    <xf numFmtId="0" fontId="1" fillId="2" borderId="1" xfId="1" applyFill="1" applyBorder="1" applyAlignment="1" applyProtection="1">
      <alignment wrapText="1"/>
    </xf>
    <xf numFmtId="0" fontId="1" fillId="2" borderId="1" xfId="1" applyFill="1" applyBorder="1" applyProtection="1">
      <protection locked="0"/>
    </xf>
    <xf numFmtId="0" fontId="9" fillId="2" borderId="0" xfId="1" applyFont="1" applyFill="1" applyProtection="1"/>
    <xf numFmtId="0" fontId="6" fillId="2" borderId="0" xfId="1" applyFont="1" applyFill="1" applyAlignment="1" applyProtection="1">
      <alignment wrapText="1"/>
    </xf>
    <xf numFmtId="0" fontId="1" fillId="2" borderId="1" xfId="1" applyNumberFormat="1" applyFill="1" applyBorder="1" applyProtection="1"/>
    <xf numFmtId="0" fontId="1" fillId="2" borderId="0" xfId="1" applyFill="1" applyBorder="1" applyProtection="1"/>
    <xf numFmtId="0" fontId="3" fillId="3" borderId="1" xfId="1" applyFont="1" applyFill="1" applyBorder="1" applyAlignment="1" applyProtection="1">
      <alignment horizontal="center" vertical="center" wrapText="1"/>
      <protection locked="0"/>
    </xf>
    <xf numFmtId="16" fontId="4" fillId="0" borderId="1" xfId="1" applyNumberFormat="1" applyFont="1" applyFill="1" applyBorder="1" applyAlignment="1" applyProtection="1">
      <alignment horizontal="center" vertical="top" textRotation="90" wrapText="1"/>
    </xf>
    <xf numFmtId="0" fontId="3" fillId="3" borderId="6" xfId="1" applyFont="1" applyFill="1" applyBorder="1" applyAlignment="1" applyProtection="1">
      <alignment horizontal="center" vertical="center"/>
    </xf>
    <xf numFmtId="0" fontId="1" fillId="3" borderId="6" xfId="1" applyFont="1" applyFill="1" applyBorder="1" applyProtection="1">
      <protection locked="0"/>
    </xf>
    <xf numFmtId="0" fontId="1" fillId="3" borderId="6" xfId="1" applyFont="1" applyFill="1" applyBorder="1" applyProtection="1"/>
    <xf numFmtId="0" fontId="1" fillId="2" borderId="5" xfId="1" applyNumberFormat="1" applyFill="1" applyBorder="1" applyProtection="1"/>
    <xf numFmtId="0" fontId="1" fillId="0" borderId="5" xfId="1" applyFont="1" applyFill="1" applyBorder="1" applyAlignment="1" applyProtection="1">
      <alignment horizontal="center" vertical="center"/>
    </xf>
    <xf numFmtId="0" fontId="3" fillId="5" borderId="7" xfId="1" applyFont="1" applyFill="1" applyBorder="1" applyProtection="1"/>
    <xf numFmtId="0" fontId="3" fillId="5" borderId="8" xfId="1" applyFont="1" applyFill="1" applyBorder="1" applyProtection="1"/>
    <xf numFmtId="0" fontId="1" fillId="0" borderId="1" xfId="1" applyFill="1" applyBorder="1" applyAlignment="1" applyProtection="1">
      <alignment horizontal="left" wrapText="1"/>
    </xf>
    <xf numFmtId="0" fontId="1" fillId="0" borderId="1" xfId="1" applyFont="1" applyFill="1" applyBorder="1" applyAlignment="1" applyProtection="1">
      <alignment wrapText="1"/>
    </xf>
    <xf numFmtId="0" fontId="3" fillId="4" borderId="3" xfId="0" applyFont="1" applyFill="1" applyBorder="1"/>
    <xf numFmtId="177" fontId="0" fillId="0" borderId="1" xfId="0" applyNumberFormat="1" applyBorder="1"/>
    <xf numFmtId="176" fontId="1" fillId="6" borderId="1" xfId="1" applyNumberFormat="1" applyFill="1" applyBorder="1" applyAlignment="1" applyProtection="1">
      <alignment horizontal="left" wrapText="1"/>
      <protection locked="0"/>
    </xf>
    <xf numFmtId="0" fontId="1" fillId="6" borderId="1" xfId="1" applyFont="1" applyFill="1" applyBorder="1" applyAlignment="1" applyProtection="1">
      <alignment wrapText="1"/>
      <protection locked="0"/>
    </xf>
    <xf numFmtId="0" fontId="1" fillId="6" borderId="1" xfId="1" applyFill="1" applyBorder="1" applyAlignment="1" applyProtection="1">
      <alignment horizontal="center" wrapText="1"/>
      <protection locked="0"/>
    </xf>
    <xf numFmtId="0" fontId="1" fillId="6" borderId="1" xfId="1" applyFill="1" applyBorder="1" applyAlignment="1" applyProtection="1">
      <alignment wrapText="1"/>
      <protection locked="0"/>
    </xf>
    <xf numFmtId="0" fontId="1" fillId="6" borderId="1" xfId="1" applyFill="1" applyBorder="1" applyAlignment="1" applyProtection="1">
      <alignment wrapText="1"/>
    </xf>
    <xf numFmtId="178" fontId="1" fillId="2" borderId="1" xfId="1" applyNumberFormat="1" applyFont="1" applyFill="1" applyBorder="1" applyAlignment="1" applyProtection="1">
      <alignment horizontal="center" wrapText="1"/>
    </xf>
    <xf numFmtId="0" fontId="1" fillId="0" borderId="0" xfId="0" applyFont="1" applyFill="1" applyBorder="1"/>
    <xf numFmtId="0" fontId="1" fillId="2" borderId="1" xfId="1" applyFont="1" applyFill="1" applyBorder="1" applyAlignment="1" applyProtection="1">
      <alignment wrapText="1"/>
    </xf>
    <xf numFmtId="178" fontId="1" fillId="0" borderId="9" xfId="1" applyNumberFormat="1" applyFont="1" applyFill="1" applyBorder="1" applyAlignment="1" applyProtection="1">
      <alignment horizontal="center" vertical="center"/>
    </xf>
    <xf numFmtId="178" fontId="1" fillId="0" borderId="10" xfId="1" applyNumberFormat="1" applyFont="1" applyFill="1" applyBorder="1" applyAlignment="1" applyProtection="1">
      <alignment horizontal="center" vertical="center"/>
    </xf>
    <xf numFmtId="178" fontId="1" fillId="0" borderId="5" xfId="1" applyNumberFormat="1" applyFont="1" applyFill="1" applyBorder="1" applyAlignment="1" applyProtection="1">
      <alignment horizontal="center" vertical="center"/>
    </xf>
    <xf numFmtId="178" fontId="1" fillId="0" borderId="1" xfId="1" applyNumberFormat="1" applyFont="1" applyFill="1" applyBorder="1" applyAlignment="1" applyProtection="1">
      <alignment horizontal="center" vertical="center"/>
    </xf>
    <xf numFmtId="178" fontId="1" fillId="3" borderId="9" xfId="1" applyNumberFormat="1" applyFont="1" applyFill="1" applyBorder="1" applyAlignment="1" applyProtection="1">
      <alignment horizontal="center" vertical="center"/>
    </xf>
    <xf numFmtId="178" fontId="1" fillId="3" borderId="10" xfId="1" applyNumberFormat="1" applyFont="1" applyFill="1" applyBorder="1" applyAlignment="1" applyProtection="1">
      <alignment horizontal="center" vertical="center"/>
    </xf>
    <xf numFmtId="178" fontId="1" fillId="3" borderId="11" xfId="1" applyNumberFormat="1" applyFont="1" applyFill="1" applyBorder="1" applyAlignment="1" applyProtection="1">
      <alignment horizontal="center" vertical="center"/>
    </xf>
    <xf numFmtId="178" fontId="1" fillId="3" borderId="12" xfId="1" applyNumberFormat="1" applyFont="1" applyFill="1" applyBorder="1" applyAlignment="1" applyProtection="1">
      <alignment horizontal="center" vertical="center"/>
    </xf>
    <xf numFmtId="178" fontId="1" fillId="2" borderId="1" xfId="1" applyNumberFormat="1" applyFill="1" applyBorder="1" applyAlignment="1" applyProtection="1">
      <alignment horizontal="left" wrapText="1"/>
    </xf>
    <xf numFmtId="0" fontId="0" fillId="0" borderId="1" xfId="0" applyBorder="1" applyProtection="1"/>
    <xf numFmtId="177" fontId="0" fillId="0" borderId="1" xfId="0" applyNumberFormat="1" applyBorder="1" applyProtection="1"/>
    <xf numFmtId="0" fontId="0" fillId="0" borderId="1" xfId="0" applyBorder="1" applyProtection="1">
      <protection locked="0"/>
    </xf>
    <xf numFmtId="0" fontId="10" fillId="8" borderId="1" xfId="0" applyFont="1" applyFill="1" applyBorder="1"/>
    <xf numFmtId="0" fontId="10" fillId="0" borderId="0" xfId="0" applyFont="1"/>
    <xf numFmtId="0" fontId="10" fillId="0" borderId="1" xfId="0" applyFont="1" applyBorder="1"/>
    <xf numFmtId="0" fontId="10" fillId="0" borderId="1" xfId="0" applyFont="1" applyFill="1" applyBorder="1"/>
    <xf numFmtId="0" fontId="10" fillId="7" borderId="1" xfId="0" applyFont="1" applyFill="1" applyBorder="1"/>
    <xf numFmtId="0" fontId="10" fillId="7" borderId="1" xfId="0" applyFont="1" applyFill="1" applyBorder="1" applyAlignment="1">
      <alignment wrapText="1"/>
    </xf>
    <xf numFmtId="0" fontId="11" fillId="0" borderId="1" xfId="3" applyBorder="1"/>
    <xf numFmtId="0" fontId="0" fillId="0" borderId="1" xfId="0" applyBorder="1" applyAlignment="1">
      <alignment horizontal="left" vertical="center"/>
    </xf>
    <xf numFmtId="15" fontId="0" fillId="0" borderId="1" xfId="0" applyNumberFormat="1" applyBorder="1" applyAlignment="1">
      <alignment horizontal="left" vertical="center"/>
    </xf>
    <xf numFmtId="0" fontId="14" fillId="0" borderId="1" xfId="0" applyFont="1" applyBorder="1" applyAlignment="1">
      <alignment vertical="center" wrapText="1"/>
    </xf>
    <xf numFmtId="0" fontId="14" fillId="0" borderId="1" xfId="0" applyFont="1" applyBorder="1"/>
    <xf numFmtId="0" fontId="10" fillId="8" borderId="1" xfId="0" applyFont="1" applyFill="1" applyBorder="1" applyAlignment="1">
      <alignment horizontal="center"/>
    </xf>
    <xf numFmtId="0" fontId="1" fillId="2" borderId="4" xfId="1" applyFont="1" applyFill="1" applyBorder="1" applyAlignment="1" applyProtection="1">
      <alignment horizontal="center" vertical="center"/>
    </xf>
    <xf numFmtId="0" fontId="1" fillId="2" borderId="3" xfId="1" applyFill="1" applyBorder="1" applyAlignment="1" applyProtection="1">
      <alignment horizontal="center" vertical="center"/>
    </xf>
    <xf numFmtId="0" fontId="1" fillId="2" borderId="2" xfId="1" applyFill="1" applyBorder="1" applyAlignment="1" applyProtection="1">
      <alignment horizontal="center" vertical="center"/>
    </xf>
    <xf numFmtId="0" fontId="1" fillId="2" borderId="4" xfId="1" applyFont="1" applyFill="1" applyBorder="1" applyAlignment="1" applyProtection="1">
      <alignment horizontal="center" vertical="center" wrapText="1"/>
    </xf>
    <xf numFmtId="0" fontId="1" fillId="2" borderId="2" xfId="1" applyFont="1" applyFill="1" applyBorder="1" applyAlignment="1" applyProtection="1">
      <alignment horizontal="center" vertical="center" wrapText="1"/>
    </xf>
    <xf numFmtId="0" fontId="1" fillId="2" borderId="3" xfId="1" applyFont="1" applyFill="1" applyBorder="1" applyAlignment="1" applyProtection="1">
      <alignment horizontal="center" vertical="center" wrapText="1"/>
    </xf>
    <xf numFmtId="0" fontId="1" fillId="2" borderId="1" xfId="1" applyFont="1" applyFill="1" applyBorder="1" applyAlignment="1" applyProtection="1">
      <alignment horizontal="center" vertical="center"/>
    </xf>
    <xf numFmtId="0" fontId="1" fillId="2" borderId="1" xfId="1" applyFill="1" applyBorder="1" applyAlignment="1" applyProtection="1">
      <alignment horizontal="center" vertical="center"/>
    </xf>
  </cellXfs>
  <cellStyles count="4">
    <cellStyle name="표준" xfId="0" builtinId="0"/>
    <cellStyle name="하이퍼링크" xfId="3" builtinId="8"/>
    <cellStyle name="Normal 2" xfId="1"/>
    <cellStyle name="Style 1" xfId="2"/>
  </cellStyles>
  <dxfs count="42">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0" tint="-0.34998626667073579"/>
        </patternFill>
      </fill>
    </dxf>
    <dxf>
      <fill>
        <patternFill>
          <bgColor theme="0" tint="-0.34998626667073579"/>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0" tint="-0.34998626667073579"/>
        </patternFill>
      </fill>
    </dxf>
    <dxf>
      <fill>
        <patternFill>
          <bgColor theme="0" tint="-0.34998626667073579"/>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0" tint="-0.34998626667073579"/>
        </patternFill>
      </fill>
    </dxf>
    <dxf>
      <fill>
        <patternFill>
          <bgColor theme="0" tint="-0.34998626667073579"/>
        </patternFill>
      </fill>
    </dxf>
    <dxf>
      <fill>
        <patternFill>
          <bgColor rgb="FF00B0F0"/>
        </patternFill>
      </fill>
    </dxf>
    <dxf>
      <fill>
        <patternFill>
          <bgColor rgb="FF92D050"/>
        </patternFill>
      </fill>
    </dxf>
    <dxf>
      <fill>
        <patternFill>
          <bgColor rgb="FF00B0F0"/>
        </patternFill>
      </fill>
    </dxf>
    <dxf>
      <fill>
        <patternFill>
          <bgColor rgb="FF92D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ko-KR"/>
  <c:style val="45"/>
  <c:chart>
    <c:title>
      <c:tx>
        <c:rich>
          <a:bodyPr/>
          <a:lstStyle/>
          <a:p>
            <a:pPr>
              <a:defRPr lang="en-US" sz="1400" b="1" i="0" u="none" strike="noStrike" baseline="0">
                <a:solidFill>
                  <a:srgbClr val="FFFFFF"/>
                </a:solidFill>
                <a:latin typeface="Calibri"/>
                <a:ea typeface="Calibri"/>
                <a:cs typeface="Calibri"/>
              </a:defRPr>
            </a:pPr>
            <a:r>
              <a:rPr lang="en-US" sz="1400"/>
              <a:t>Burn down Chart</a:t>
            </a:r>
          </a:p>
        </c:rich>
      </c:tx>
      <c:layout>
        <c:manualLayout>
          <c:xMode val="edge"/>
          <c:yMode val="edge"/>
          <c:x val="2.1762831485529283E-2"/>
          <c:y val="4.6725025293626104E-3"/>
        </c:manualLayout>
      </c:layout>
      <c:spPr>
        <a:noFill/>
        <a:ln w="25400">
          <a:noFill/>
        </a:ln>
      </c:spPr>
    </c:title>
    <c:plotArea>
      <c:layout>
        <c:manualLayout>
          <c:layoutTarget val="inner"/>
          <c:xMode val="edge"/>
          <c:yMode val="edge"/>
          <c:x val="0.16993934286642348"/>
          <c:y val="0.13184753289921824"/>
          <c:w val="0.74296250033617961"/>
          <c:h val="0.64832496505117965"/>
        </c:manualLayout>
      </c:layout>
      <c:lineChart>
        <c:grouping val="standard"/>
        <c:ser>
          <c:idx val="0"/>
          <c:order val="0"/>
          <c:val>
            <c:numRef>
              <c:f>[0]!RemEffort</c:f>
              <c:numCache>
                <c:formatCode>0;\-0;;@\ </c:formatCode>
                <c:ptCount val="12"/>
                <c:pt idx="0">
                  <c:v>45</c:v>
                </c:pt>
                <c:pt idx="1">
                  <c:v>30</c:v>
                </c:pt>
                <c:pt idx="2">
                  <c:v>15</c:v>
                </c:pt>
                <c:pt idx="3">
                  <c:v>9</c:v>
                </c:pt>
                <c:pt idx="4">
                  <c:v>9</c:v>
                </c:pt>
                <c:pt idx="5">
                  <c:v>9</c:v>
                </c:pt>
                <c:pt idx="6">
                  <c:v>9</c:v>
                </c:pt>
                <c:pt idx="7">
                  <c:v>9</c:v>
                </c:pt>
                <c:pt idx="8">
                  <c:v>9</c:v>
                </c:pt>
                <c:pt idx="9">
                  <c:v>9</c:v>
                </c:pt>
                <c:pt idx="10">
                  <c:v>9</c:v>
                </c:pt>
                <c:pt idx="11">
                  <c:v>9</c:v>
                </c:pt>
              </c:numCache>
            </c:numRef>
          </c:val>
        </c:ser>
        <c:dLbls/>
        <c:marker val="1"/>
        <c:axId val="312845440"/>
        <c:axId val="312847360"/>
      </c:lineChart>
      <c:catAx>
        <c:axId val="312845440"/>
        <c:scaling>
          <c:orientation val="minMax"/>
        </c:scaling>
        <c:axPos val="b"/>
        <c:title>
          <c:tx>
            <c:rich>
              <a:bodyPr/>
              <a:lstStyle/>
              <a:p>
                <a:pPr>
                  <a:defRPr lang="en-US" sz="1000" b="1" i="0" u="none" strike="noStrike" baseline="0">
                    <a:solidFill>
                      <a:srgbClr val="FFFFFF"/>
                    </a:solidFill>
                    <a:latin typeface="Calibri"/>
                    <a:ea typeface="Calibri"/>
                    <a:cs typeface="Calibri"/>
                  </a:defRPr>
                </a:pPr>
                <a:r>
                  <a:rPr lang="en-US"/>
                  <a:t>Sprint day</a:t>
                </a:r>
              </a:p>
            </c:rich>
          </c:tx>
          <c:layout>
            <c:manualLayout>
              <c:xMode val="edge"/>
              <c:yMode val="edge"/>
              <c:x val="0.41443938236817385"/>
              <c:y val="0.89426267247320368"/>
            </c:manualLayout>
          </c:layout>
          <c:spPr>
            <a:noFill/>
            <a:ln w="25400">
              <a:noFill/>
            </a:ln>
          </c:spPr>
        </c:title>
        <c:numFmt formatCode="General"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2847360"/>
        <c:crosses val="autoZero"/>
        <c:auto val="1"/>
        <c:lblAlgn val="ctr"/>
        <c:lblOffset val="100"/>
        <c:tickLblSkip val="1"/>
        <c:tickMarkSkip val="1"/>
      </c:catAx>
      <c:valAx>
        <c:axId val="312847360"/>
        <c:scaling>
          <c:orientation val="minMax"/>
        </c:scaling>
        <c:axPos val="l"/>
        <c:majorGridlines/>
        <c:title>
          <c:tx>
            <c:rich>
              <a:bodyPr/>
              <a:lstStyle/>
              <a:p>
                <a:pPr>
                  <a:defRPr lang="en-US" sz="1200" b="1" i="0" u="none" strike="noStrike" baseline="0">
                    <a:solidFill>
                      <a:srgbClr val="FFFFFF"/>
                    </a:solidFill>
                    <a:latin typeface="Calibri"/>
                    <a:ea typeface="Calibri"/>
                    <a:cs typeface="Calibri"/>
                  </a:defRPr>
                </a:pPr>
                <a:r>
                  <a:rPr lang="en-US"/>
                  <a:t>Remaining Effort</a:t>
                </a:r>
              </a:p>
            </c:rich>
          </c:tx>
          <c:layout>
            <c:manualLayout>
              <c:xMode val="edge"/>
              <c:yMode val="edge"/>
              <c:x val="2.5302188397018934E-3"/>
              <c:y val="0.28058651886391384"/>
            </c:manualLayout>
          </c:layout>
          <c:spPr>
            <a:noFill/>
            <a:ln w="25400">
              <a:noFill/>
            </a:ln>
          </c:spPr>
        </c:title>
        <c:numFmt formatCode="0;\-0;;@\ "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2845440"/>
        <c:crosses val="autoZero"/>
        <c:crossBetween val="between"/>
      </c:valAx>
    </c:plotArea>
    <c:plotVisOnly val="1"/>
    <c:dispBlanksAs val="gap"/>
  </c:chart>
  <c:txPr>
    <a:bodyPr/>
    <a:lstStyle/>
    <a:p>
      <a:pPr>
        <a:defRPr sz="1000" b="0" i="0" u="none" strike="noStrike" baseline="0">
          <a:solidFill>
            <a:srgbClr val="FFFFFF"/>
          </a:solidFill>
          <a:latin typeface="Calibri"/>
          <a:ea typeface="Calibri"/>
          <a:cs typeface="Calibri"/>
        </a:defRPr>
      </a:pPr>
      <a:endParaRPr lang="ko-KR"/>
    </a:p>
  </c:txPr>
  <c:printSettings>
    <c:headerFooter alignWithMargins="0"/>
    <c:pageMargins b="1" l="0.75000000000000322" r="0.750000000000003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ko-KR"/>
  <c:style val="45"/>
  <c:chart>
    <c:title>
      <c:tx>
        <c:rich>
          <a:bodyPr/>
          <a:lstStyle/>
          <a:p>
            <a:pPr>
              <a:defRPr lang="en-US" sz="1400" b="1" i="0" u="none" strike="noStrike" baseline="0">
                <a:solidFill>
                  <a:srgbClr val="FFFFFF"/>
                </a:solidFill>
                <a:latin typeface="Calibri"/>
                <a:ea typeface="Calibri"/>
                <a:cs typeface="Calibri"/>
              </a:defRPr>
            </a:pPr>
            <a:r>
              <a:rPr lang="en-US" sz="1400"/>
              <a:t>Status</a:t>
            </a:r>
          </a:p>
        </c:rich>
      </c:tx>
      <c:layout/>
      <c:spPr>
        <a:noFill/>
        <a:ln w="25400">
          <a:noFill/>
        </a:ln>
      </c:spPr>
    </c:title>
    <c:plotArea>
      <c:layout>
        <c:manualLayout>
          <c:layoutTarget val="inner"/>
          <c:xMode val="edge"/>
          <c:yMode val="edge"/>
          <c:x val="0.12062256809338522"/>
          <c:y val="0.12813370473537605"/>
          <c:w val="0.87159533073929962"/>
          <c:h val="0.62674094707521066"/>
        </c:manualLayout>
      </c:layout>
      <c:lineChart>
        <c:grouping val="standard"/>
        <c:ser>
          <c:idx val="0"/>
          <c:order val="0"/>
          <c:cat>
            <c:strRef>
              <c:f>'Sp1'!$T$3:$T$6</c:f>
              <c:strCache>
                <c:ptCount val="4"/>
                <c:pt idx="0">
                  <c:v>Completed</c:v>
                </c:pt>
                <c:pt idx="1">
                  <c:v>InProgress</c:v>
                </c:pt>
                <c:pt idx="2">
                  <c:v>Deferred</c:v>
                </c:pt>
                <c:pt idx="3">
                  <c:v>NotStarted</c:v>
                </c:pt>
              </c:strCache>
            </c:strRef>
          </c:cat>
          <c:val>
            <c:numRef>
              <c:f>'Sp1'!$U$3:$U$6</c:f>
              <c:numCache>
                <c:formatCode>General</c:formatCode>
                <c:ptCount val="4"/>
                <c:pt idx="0">
                  <c:v>0</c:v>
                </c:pt>
                <c:pt idx="1">
                  <c:v>0</c:v>
                </c:pt>
                <c:pt idx="2">
                  <c:v>0</c:v>
                </c:pt>
                <c:pt idx="3">
                  <c:v>0</c:v>
                </c:pt>
              </c:numCache>
            </c:numRef>
          </c:val>
        </c:ser>
        <c:dLbls/>
        <c:marker val="1"/>
        <c:axId val="312867840"/>
        <c:axId val="313070336"/>
      </c:lineChart>
      <c:catAx>
        <c:axId val="312867840"/>
        <c:scaling>
          <c:orientation val="minMax"/>
        </c:scaling>
        <c:axPos val="b"/>
        <c:numFmt formatCode="General" sourceLinked="1"/>
        <c:tickLblPos val="nextTo"/>
        <c:txPr>
          <a:bodyPr rot="-5400000" vert="horz"/>
          <a:lstStyle/>
          <a:p>
            <a:pPr>
              <a:defRPr lang="en-US" sz="1000" b="0" i="0" u="none" strike="noStrike" baseline="0">
                <a:solidFill>
                  <a:srgbClr val="FFFFFF"/>
                </a:solidFill>
                <a:latin typeface="Calibri"/>
                <a:ea typeface="Calibri"/>
                <a:cs typeface="Calibri"/>
              </a:defRPr>
            </a:pPr>
            <a:endParaRPr lang="ko-KR"/>
          </a:p>
        </c:txPr>
        <c:crossAx val="313070336"/>
        <c:crosses val="autoZero"/>
        <c:auto val="1"/>
        <c:lblAlgn val="ctr"/>
        <c:lblOffset val="100"/>
      </c:catAx>
      <c:valAx>
        <c:axId val="313070336"/>
        <c:scaling>
          <c:orientation val="minMax"/>
        </c:scaling>
        <c:axPos val="l"/>
        <c:majorGridlines/>
        <c:numFmt formatCode="General"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2867840"/>
        <c:crosses val="autoZero"/>
        <c:crossBetween val="between"/>
      </c:valAx>
    </c:plotArea>
    <c:plotVisOnly val="1"/>
    <c:dispBlanksAs val="gap"/>
  </c:chart>
  <c:txPr>
    <a:bodyPr/>
    <a:lstStyle/>
    <a:p>
      <a:pPr>
        <a:defRPr sz="1000" b="0" i="0" u="none" strike="noStrike" baseline="0">
          <a:solidFill>
            <a:srgbClr val="FFFFFF"/>
          </a:solidFill>
          <a:latin typeface="Calibri"/>
          <a:ea typeface="Calibri"/>
          <a:cs typeface="Calibri"/>
        </a:defRPr>
      </a:pPr>
      <a:endParaRPr lang="ko-KR"/>
    </a:p>
  </c:txPr>
  <c:printSettings>
    <c:headerFooter/>
    <c:pageMargins b="0.75000000000000366" l="0.70000000000000062" r="0.70000000000000062" t="0.750000000000003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ko-KR"/>
  <c:style val="42"/>
  <c:chart>
    <c:title>
      <c:tx>
        <c:rich>
          <a:bodyPr/>
          <a:lstStyle/>
          <a:p>
            <a:pPr>
              <a:defRPr lang="en-US" sz="1400" b="1" i="0" u="none" strike="noStrike" baseline="0">
                <a:solidFill>
                  <a:srgbClr val="FFFFFF"/>
                </a:solidFill>
                <a:latin typeface="Calibri"/>
                <a:ea typeface="Calibri"/>
                <a:cs typeface="Calibri"/>
              </a:defRPr>
            </a:pPr>
            <a:r>
              <a:rPr lang="en-US" sz="1400"/>
              <a:t>Estimate vs Actual Effort</a:t>
            </a:r>
          </a:p>
        </c:rich>
      </c:tx>
      <c:layout/>
      <c:spPr>
        <a:noFill/>
        <a:ln w="25400">
          <a:noFill/>
        </a:ln>
      </c:spPr>
    </c:title>
    <c:plotArea>
      <c:layout>
        <c:manualLayout>
          <c:layoutTarget val="inner"/>
          <c:xMode val="edge"/>
          <c:yMode val="edge"/>
          <c:x val="9.9368891105806642E-2"/>
          <c:y val="0.15715241477168296"/>
          <c:w val="0.89761451764230815"/>
          <c:h val="0.63519707095436595"/>
        </c:manualLayout>
      </c:layout>
      <c:barChart>
        <c:barDir val="col"/>
        <c:grouping val="clustered"/>
        <c:ser>
          <c:idx val="5"/>
          <c:order val="0"/>
          <c:tx>
            <c:strRef>
              <c:f>'Sp1'!$U$10</c:f>
              <c:strCache>
                <c:ptCount val="1"/>
                <c:pt idx="0">
                  <c:v>Est</c:v>
                </c:pt>
              </c:strCache>
            </c:strRef>
          </c:tx>
          <c:cat>
            <c:strRef>
              <c:f>'Sp1'!$T$11:$T$17</c:f>
              <c:strCache>
                <c:ptCount val="6"/>
                <c:pt idx="0">
                  <c:v>SungeunKim</c:v>
                </c:pt>
                <c:pt idx="1">
                  <c:v>TommyPark</c:v>
                </c:pt>
                <c:pt idx="2">
                  <c:v>Vijay</c:v>
                </c:pt>
                <c:pt idx="3">
                  <c:v>ByungseonShin</c:v>
                </c:pt>
                <c:pt idx="4">
                  <c:v>JugwanEom</c:v>
                </c:pt>
                <c:pt idx="5">
                  <c:v>JinyoungDu</c:v>
                </c:pt>
              </c:strCache>
            </c:strRef>
          </c:cat>
          <c:val>
            <c:numRef>
              <c:f>'Sp1'!$U$11:$U$17</c:f>
              <c:numCache>
                <c:formatCode>0;\-0;;@\ </c:formatCode>
                <c:ptCount val="7"/>
                <c:pt idx="0">
                  <c:v>20</c:v>
                </c:pt>
                <c:pt idx="1">
                  <c:v>0</c:v>
                </c:pt>
                <c:pt idx="2">
                  <c:v>20</c:v>
                </c:pt>
                <c:pt idx="3">
                  <c:v>20</c:v>
                </c:pt>
                <c:pt idx="4">
                  <c:v>0</c:v>
                </c:pt>
                <c:pt idx="5">
                  <c:v>0</c:v>
                </c:pt>
                <c:pt idx="6">
                  <c:v>0</c:v>
                </c:pt>
              </c:numCache>
            </c:numRef>
          </c:val>
        </c:ser>
        <c:ser>
          <c:idx val="6"/>
          <c:order val="1"/>
          <c:tx>
            <c:strRef>
              <c:f>'Sp1'!$V$10</c:f>
              <c:strCache>
                <c:ptCount val="1"/>
                <c:pt idx="0">
                  <c:v>Effort</c:v>
                </c:pt>
              </c:strCache>
            </c:strRef>
          </c:tx>
          <c:cat>
            <c:strRef>
              <c:f>'Sp1'!$T$11:$T$17</c:f>
              <c:strCache>
                <c:ptCount val="6"/>
                <c:pt idx="0">
                  <c:v>SungeunKim</c:v>
                </c:pt>
                <c:pt idx="1">
                  <c:v>TommyPark</c:v>
                </c:pt>
                <c:pt idx="2">
                  <c:v>Vijay</c:v>
                </c:pt>
                <c:pt idx="3">
                  <c:v>ByungseonShin</c:v>
                </c:pt>
                <c:pt idx="4">
                  <c:v>JugwanEom</c:v>
                </c:pt>
                <c:pt idx="5">
                  <c:v>JinyoungDu</c:v>
                </c:pt>
              </c:strCache>
            </c:strRef>
          </c:cat>
          <c:val>
            <c:numRef>
              <c:f>'Sp1'!$V$11:$V$17</c:f>
              <c:numCache>
                <c:formatCode>0;\-0;;@\ </c:formatCode>
                <c:ptCount val="7"/>
                <c:pt idx="0">
                  <c:v>17</c:v>
                </c:pt>
                <c:pt idx="1">
                  <c:v>0</c:v>
                </c:pt>
                <c:pt idx="2">
                  <c:v>17</c:v>
                </c:pt>
                <c:pt idx="3">
                  <c:v>17</c:v>
                </c:pt>
                <c:pt idx="4">
                  <c:v>0</c:v>
                </c:pt>
                <c:pt idx="5">
                  <c:v>0</c:v>
                </c:pt>
                <c:pt idx="6">
                  <c:v>0</c:v>
                </c:pt>
              </c:numCache>
            </c:numRef>
          </c:val>
        </c:ser>
        <c:dLbls/>
        <c:gapWidth val="75"/>
        <c:overlap val="-25"/>
        <c:axId val="313116160"/>
        <c:axId val="313117696"/>
      </c:barChart>
      <c:catAx>
        <c:axId val="313116160"/>
        <c:scaling>
          <c:orientation val="minMax"/>
        </c:scaling>
        <c:axPos val="b"/>
        <c:numFmt formatCode="General" sourceLinked="1"/>
        <c:majorTickMark val="none"/>
        <c:tickLblPos val="low"/>
        <c:txPr>
          <a:bodyPr rot="-5400000" vert="horz"/>
          <a:lstStyle/>
          <a:p>
            <a:pPr>
              <a:defRPr lang="en-US" sz="900" b="0" i="0" u="none" strike="noStrike" baseline="0">
                <a:solidFill>
                  <a:srgbClr val="FFFFFF"/>
                </a:solidFill>
                <a:latin typeface="Calibri"/>
                <a:ea typeface="Calibri"/>
                <a:cs typeface="Calibri"/>
              </a:defRPr>
            </a:pPr>
            <a:endParaRPr lang="ko-KR"/>
          </a:p>
        </c:txPr>
        <c:crossAx val="313117696"/>
        <c:crosses val="autoZero"/>
        <c:lblAlgn val="ctr"/>
        <c:lblOffset val="100"/>
      </c:catAx>
      <c:valAx>
        <c:axId val="313117696"/>
        <c:scaling>
          <c:orientation val="minMax"/>
        </c:scaling>
        <c:axPos val="l"/>
        <c:majorGridlines/>
        <c:numFmt formatCode="0;\-0;;@\ " sourceLinked="1"/>
        <c:majorTickMark val="none"/>
        <c:tickLblPos val="nextTo"/>
        <c:spPr>
          <a:ln w="9525">
            <a:noFill/>
          </a:ln>
        </c:spPr>
        <c:txPr>
          <a:bodyPr rot="0" vert="horz"/>
          <a:lstStyle/>
          <a:p>
            <a:pPr>
              <a:defRPr lang="en-US" sz="1000" b="0" i="0" u="none" strike="noStrike" baseline="0">
                <a:solidFill>
                  <a:srgbClr val="FFFFFF"/>
                </a:solidFill>
                <a:latin typeface="Calibri"/>
                <a:ea typeface="Calibri"/>
                <a:cs typeface="Calibri"/>
              </a:defRPr>
            </a:pPr>
            <a:endParaRPr lang="ko-KR"/>
          </a:p>
        </c:txPr>
        <c:crossAx val="313116160"/>
        <c:crosses val="autoZero"/>
        <c:crossBetween val="between"/>
      </c:valAx>
    </c:plotArea>
    <c:legend>
      <c:legendPos val="b"/>
      <c:layout/>
      <c:txPr>
        <a:bodyPr/>
        <a:lstStyle/>
        <a:p>
          <a:pPr>
            <a:defRPr lang="en-US" sz="920" b="0" i="0" u="none" strike="noStrike" baseline="0">
              <a:solidFill>
                <a:srgbClr val="FFFFFF"/>
              </a:solidFill>
              <a:latin typeface="Calibri"/>
              <a:ea typeface="Calibri"/>
              <a:cs typeface="Calibri"/>
            </a:defRPr>
          </a:pPr>
          <a:endParaRPr lang="ko-KR"/>
        </a:p>
      </c:txPr>
    </c:legend>
    <c:plotVisOnly val="1"/>
    <c:dispBlanksAs val="gap"/>
  </c:chart>
  <c:txPr>
    <a:bodyPr/>
    <a:lstStyle/>
    <a:p>
      <a:pPr>
        <a:defRPr sz="1000" b="0" i="0" u="none" strike="noStrike" baseline="0">
          <a:solidFill>
            <a:srgbClr val="FFFFFF"/>
          </a:solidFill>
          <a:latin typeface="Calibri"/>
          <a:ea typeface="Calibri"/>
          <a:cs typeface="Calibri"/>
        </a:defRPr>
      </a:pPr>
      <a:endParaRPr lang="ko-KR"/>
    </a:p>
  </c:txPr>
  <c:printSettings>
    <c:headerFooter/>
    <c:pageMargins b="0.75000000000000322" l="0.70000000000000062" r="0.70000000000000062" t="0.750000000000003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ko-KR"/>
  <c:style val="45"/>
  <c:chart>
    <c:title>
      <c:tx>
        <c:rich>
          <a:bodyPr/>
          <a:lstStyle/>
          <a:p>
            <a:pPr>
              <a:defRPr lang="en-US" sz="1400" b="1" i="0" u="none" strike="noStrike" baseline="0">
                <a:solidFill>
                  <a:srgbClr val="FFFFFF"/>
                </a:solidFill>
                <a:latin typeface="Calibri"/>
                <a:ea typeface="Calibri"/>
                <a:cs typeface="Calibri"/>
              </a:defRPr>
            </a:pPr>
            <a:r>
              <a:rPr lang="en-US" sz="1400"/>
              <a:t>Burn down Chart</a:t>
            </a:r>
          </a:p>
        </c:rich>
      </c:tx>
      <c:layout>
        <c:manualLayout>
          <c:xMode val="edge"/>
          <c:yMode val="edge"/>
          <c:x val="2.1762831485529283E-2"/>
          <c:y val="4.6725025293626104E-3"/>
        </c:manualLayout>
      </c:layout>
      <c:spPr>
        <a:noFill/>
        <a:ln w="25400">
          <a:noFill/>
        </a:ln>
      </c:spPr>
    </c:title>
    <c:plotArea>
      <c:layout>
        <c:manualLayout>
          <c:layoutTarget val="inner"/>
          <c:xMode val="edge"/>
          <c:yMode val="edge"/>
          <c:x val="0.16993934286642348"/>
          <c:y val="0.13184753289921824"/>
          <c:w val="0.74296250033617961"/>
          <c:h val="0.64832496505117965"/>
        </c:manualLayout>
      </c:layout>
      <c:lineChart>
        <c:grouping val="standard"/>
        <c:ser>
          <c:idx val="0"/>
          <c:order val="0"/>
          <c:val>
            <c:numRef>
              <c:f>'Sp1'!$W$24:$AH$24</c:f>
              <c:numCache>
                <c:formatCode>0;\-0;;@\ </c:formatCode>
                <c:ptCount val="12"/>
                <c:pt idx="0">
                  <c:v>45</c:v>
                </c:pt>
                <c:pt idx="1">
                  <c:v>30</c:v>
                </c:pt>
                <c:pt idx="2">
                  <c:v>15</c:v>
                </c:pt>
                <c:pt idx="3">
                  <c:v>9</c:v>
                </c:pt>
                <c:pt idx="4">
                  <c:v>9</c:v>
                </c:pt>
                <c:pt idx="5">
                  <c:v>9</c:v>
                </c:pt>
                <c:pt idx="6">
                  <c:v>9</c:v>
                </c:pt>
                <c:pt idx="7">
                  <c:v>9</c:v>
                </c:pt>
                <c:pt idx="8">
                  <c:v>9</c:v>
                </c:pt>
                <c:pt idx="9">
                  <c:v>9</c:v>
                </c:pt>
                <c:pt idx="10">
                  <c:v>9</c:v>
                </c:pt>
                <c:pt idx="11">
                  <c:v>9</c:v>
                </c:pt>
              </c:numCache>
            </c:numRef>
          </c:val>
        </c:ser>
        <c:dLbls/>
        <c:marker val="1"/>
        <c:axId val="312552448"/>
        <c:axId val="312587392"/>
      </c:lineChart>
      <c:catAx>
        <c:axId val="312552448"/>
        <c:scaling>
          <c:orientation val="minMax"/>
        </c:scaling>
        <c:axPos val="b"/>
        <c:title>
          <c:tx>
            <c:rich>
              <a:bodyPr/>
              <a:lstStyle/>
              <a:p>
                <a:pPr>
                  <a:defRPr lang="en-US" sz="1000" b="1" i="0" u="none" strike="noStrike" baseline="0">
                    <a:solidFill>
                      <a:srgbClr val="FFFFFF"/>
                    </a:solidFill>
                    <a:latin typeface="Calibri"/>
                    <a:ea typeface="Calibri"/>
                    <a:cs typeface="Calibri"/>
                  </a:defRPr>
                </a:pPr>
                <a:r>
                  <a:rPr lang="en-US"/>
                  <a:t>Sprint day</a:t>
                </a:r>
              </a:p>
            </c:rich>
          </c:tx>
          <c:layout>
            <c:manualLayout>
              <c:xMode val="edge"/>
              <c:yMode val="edge"/>
              <c:x val="0.41443938236817385"/>
              <c:y val="0.89426267247320368"/>
            </c:manualLayout>
          </c:layout>
          <c:spPr>
            <a:noFill/>
            <a:ln w="25400">
              <a:noFill/>
            </a:ln>
          </c:spPr>
        </c:title>
        <c:numFmt formatCode="General"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2587392"/>
        <c:crosses val="autoZero"/>
        <c:auto val="1"/>
        <c:lblAlgn val="ctr"/>
        <c:lblOffset val="100"/>
        <c:tickLblSkip val="1"/>
        <c:tickMarkSkip val="1"/>
      </c:catAx>
      <c:valAx>
        <c:axId val="312587392"/>
        <c:scaling>
          <c:orientation val="minMax"/>
        </c:scaling>
        <c:axPos val="l"/>
        <c:majorGridlines/>
        <c:title>
          <c:tx>
            <c:rich>
              <a:bodyPr/>
              <a:lstStyle/>
              <a:p>
                <a:pPr>
                  <a:defRPr lang="en-US" sz="1200" b="1" i="0" u="none" strike="noStrike" baseline="0">
                    <a:solidFill>
                      <a:srgbClr val="FFFFFF"/>
                    </a:solidFill>
                    <a:latin typeface="Calibri"/>
                    <a:ea typeface="Calibri"/>
                    <a:cs typeface="Calibri"/>
                  </a:defRPr>
                </a:pPr>
                <a:r>
                  <a:rPr lang="en-US"/>
                  <a:t>Remaining Effort</a:t>
                </a:r>
              </a:p>
            </c:rich>
          </c:tx>
          <c:layout>
            <c:manualLayout>
              <c:xMode val="edge"/>
              <c:yMode val="edge"/>
              <c:x val="2.5302188397018934E-3"/>
              <c:y val="0.28058651886391384"/>
            </c:manualLayout>
          </c:layout>
          <c:spPr>
            <a:noFill/>
            <a:ln w="25400">
              <a:noFill/>
            </a:ln>
          </c:spPr>
        </c:title>
        <c:numFmt formatCode="0;\-0;;@\ "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2552448"/>
        <c:crosses val="autoZero"/>
        <c:crossBetween val="between"/>
      </c:valAx>
    </c:plotArea>
    <c:plotVisOnly val="1"/>
    <c:dispBlanksAs val="gap"/>
  </c:chart>
  <c:txPr>
    <a:bodyPr/>
    <a:lstStyle/>
    <a:p>
      <a:pPr>
        <a:defRPr sz="1000" b="0" i="0" u="none" strike="noStrike" baseline="0">
          <a:solidFill>
            <a:srgbClr val="FFFFFF"/>
          </a:solidFill>
          <a:latin typeface="Calibri"/>
          <a:ea typeface="Calibri"/>
          <a:cs typeface="Calibri"/>
        </a:defRPr>
      </a:pPr>
      <a:endParaRPr lang="ko-KR"/>
    </a:p>
  </c:txPr>
  <c:printSettings>
    <c:headerFooter alignWithMargins="0"/>
    <c:pageMargins b="1" l="0.75000000000000322" r="0.75000000000000322"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ko-KR"/>
  <c:style val="45"/>
  <c:chart>
    <c:title>
      <c:tx>
        <c:rich>
          <a:bodyPr/>
          <a:lstStyle/>
          <a:p>
            <a:pPr>
              <a:defRPr lang="en-US" sz="1400" b="1" i="0" u="none" strike="noStrike" baseline="0">
                <a:solidFill>
                  <a:srgbClr val="FFFFFF"/>
                </a:solidFill>
                <a:latin typeface="Calibri"/>
                <a:ea typeface="Calibri"/>
                <a:cs typeface="Calibri"/>
              </a:defRPr>
            </a:pPr>
            <a:r>
              <a:rPr lang="en-US" sz="1400"/>
              <a:t>Burn down Chart</a:t>
            </a:r>
          </a:p>
        </c:rich>
      </c:tx>
      <c:layout>
        <c:manualLayout>
          <c:xMode val="edge"/>
          <c:yMode val="edge"/>
          <c:x val="2.1762831485529283E-2"/>
          <c:y val="4.6725025293626104E-3"/>
        </c:manualLayout>
      </c:layout>
      <c:spPr>
        <a:noFill/>
        <a:ln w="25400">
          <a:noFill/>
        </a:ln>
      </c:spPr>
    </c:title>
    <c:plotArea>
      <c:layout>
        <c:manualLayout>
          <c:layoutTarget val="inner"/>
          <c:xMode val="edge"/>
          <c:yMode val="edge"/>
          <c:x val="0.16993934286642348"/>
          <c:y val="0.13184753289921824"/>
          <c:w val="0.74296250033617961"/>
          <c:h val="0.64832496505117965"/>
        </c:manualLayout>
      </c:layout>
      <c:lineChart>
        <c:grouping val="standard"/>
        <c:ser>
          <c:idx val="0"/>
          <c:order val="0"/>
          <c:val>
            <c:numRef>
              <c:f>'Sp2'!$W$24:$AH$24</c:f>
              <c:numCache>
                <c:formatCode>0;\-0;;@\ </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marker val="1"/>
        <c:axId val="313382784"/>
        <c:axId val="312225792"/>
      </c:lineChart>
      <c:catAx>
        <c:axId val="313382784"/>
        <c:scaling>
          <c:orientation val="minMax"/>
        </c:scaling>
        <c:axPos val="b"/>
        <c:title>
          <c:tx>
            <c:rich>
              <a:bodyPr/>
              <a:lstStyle/>
              <a:p>
                <a:pPr>
                  <a:defRPr lang="en-US" sz="1000" b="1" i="0" u="none" strike="noStrike" baseline="0">
                    <a:solidFill>
                      <a:srgbClr val="FFFFFF"/>
                    </a:solidFill>
                    <a:latin typeface="Calibri"/>
                    <a:ea typeface="Calibri"/>
                    <a:cs typeface="Calibri"/>
                  </a:defRPr>
                </a:pPr>
                <a:r>
                  <a:rPr lang="en-US"/>
                  <a:t>Sprint day</a:t>
                </a:r>
              </a:p>
            </c:rich>
          </c:tx>
          <c:layout>
            <c:manualLayout>
              <c:xMode val="edge"/>
              <c:yMode val="edge"/>
              <c:x val="0.41443938236817385"/>
              <c:y val="0.89426267247320368"/>
            </c:manualLayout>
          </c:layout>
          <c:spPr>
            <a:noFill/>
            <a:ln w="25400">
              <a:noFill/>
            </a:ln>
          </c:spPr>
        </c:title>
        <c:numFmt formatCode="General"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2225792"/>
        <c:crosses val="autoZero"/>
        <c:auto val="1"/>
        <c:lblAlgn val="ctr"/>
        <c:lblOffset val="100"/>
        <c:tickLblSkip val="1"/>
        <c:tickMarkSkip val="1"/>
      </c:catAx>
      <c:valAx>
        <c:axId val="312225792"/>
        <c:scaling>
          <c:orientation val="minMax"/>
        </c:scaling>
        <c:axPos val="l"/>
        <c:majorGridlines/>
        <c:title>
          <c:tx>
            <c:rich>
              <a:bodyPr/>
              <a:lstStyle/>
              <a:p>
                <a:pPr>
                  <a:defRPr lang="en-US" sz="1200" b="1" i="0" u="none" strike="noStrike" baseline="0">
                    <a:solidFill>
                      <a:srgbClr val="FFFFFF"/>
                    </a:solidFill>
                    <a:latin typeface="Calibri"/>
                    <a:ea typeface="Calibri"/>
                    <a:cs typeface="Calibri"/>
                  </a:defRPr>
                </a:pPr>
                <a:r>
                  <a:rPr lang="en-US"/>
                  <a:t>Remaining Effort</a:t>
                </a:r>
              </a:p>
            </c:rich>
          </c:tx>
          <c:layout>
            <c:manualLayout>
              <c:xMode val="edge"/>
              <c:yMode val="edge"/>
              <c:x val="2.5302188397018934E-3"/>
              <c:y val="0.28058651886391384"/>
            </c:manualLayout>
          </c:layout>
          <c:spPr>
            <a:noFill/>
            <a:ln w="25400">
              <a:noFill/>
            </a:ln>
          </c:spPr>
        </c:title>
        <c:numFmt formatCode="0;\-0;;@\ "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3382784"/>
        <c:crosses val="autoZero"/>
        <c:crossBetween val="between"/>
      </c:valAx>
    </c:plotArea>
    <c:plotVisOnly val="1"/>
    <c:dispBlanksAs val="gap"/>
  </c:chart>
  <c:txPr>
    <a:bodyPr/>
    <a:lstStyle/>
    <a:p>
      <a:pPr>
        <a:defRPr sz="1000" b="0" i="0" u="none" strike="noStrike" baseline="0">
          <a:solidFill>
            <a:srgbClr val="FFFFFF"/>
          </a:solidFill>
          <a:latin typeface="Calibri"/>
          <a:ea typeface="Calibri"/>
          <a:cs typeface="Calibri"/>
        </a:defRPr>
      </a:pPr>
      <a:endParaRPr lang="ko-KR"/>
    </a:p>
  </c:txPr>
  <c:printSettings>
    <c:headerFooter alignWithMargins="0"/>
    <c:pageMargins b="1" l="0.75000000000000322" r="0.75000000000000322"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ko-KR"/>
  <c:style val="45"/>
  <c:chart>
    <c:title>
      <c:tx>
        <c:rich>
          <a:bodyPr/>
          <a:lstStyle/>
          <a:p>
            <a:pPr>
              <a:defRPr lang="en-US" sz="1400" b="1" i="0" u="none" strike="noStrike" baseline="0">
                <a:solidFill>
                  <a:srgbClr val="FFFFFF"/>
                </a:solidFill>
                <a:latin typeface="Calibri"/>
                <a:ea typeface="Calibri"/>
                <a:cs typeface="Calibri"/>
              </a:defRPr>
            </a:pPr>
            <a:r>
              <a:rPr lang="en-US" sz="1400"/>
              <a:t>Status</a:t>
            </a:r>
          </a:p>
        </c:rich>
      </c:tx>
      <c:layout/>
      <c:spPr>
        <a:noFill/>
        <a:ln w="25400">
          <a:noFill/>
        </a:ln>
      </c:spPr>
    </c:title>
    <c:plotArea>
      <c:layout>
        <c:manualLayout>
          <c:layoutTarget val="inner"/>
          <c:xMode val="edge"/>
          <c:yMode val="edge"/>
          <c:x val="0.12062256809338522"/>
          <c:y val="0.12813370473537605"/>
          <c:w val="0.87159533073929962"/>
          <c:h val="0.62674094707521066"/>
        </c:manualLayout>
      </c:layout>
      <c:lineChart>
        <c:grouping val="standard"/>
        <c:ser>
          <c:idx val="0"/>
          <c:order val="0"/>
          <c:cat>
            <c:strRef>
              <c:f>'Sp2'!$T$3:$T$6</c:f>
              <c:strCache>
                <c:ptCount val="4"/>
                <c:pt idx="0">
                  <c:v>Completed</c:v>
                </c:pt>
                <c:pt idx="1">
                  <c:v>InProgress</c:v>
                </c:pt>
                <c:pt idx="2">
                  <c:v>Deferred</c:v>
                </c:pt>
                <c:pt idx="3">
                  <c:v>NotStarted</c:v>
                </c:pt>
              </c:strCache>
            </c:strRef>
          </c:cat>
          <c:val>
            <c:numRef>
              <c:f>'Sp2'!$U$3:$U$6</c:f>
              <c:numCache>
                <c:formatCode>General</c:formatCode>
                <c:ptCount val="4"/>
                <c:pt idx="0">
                  <c:v>0</c:v>
                </c:pt>
                <c:pt idx="1">
                  <c:v>0</c:v>
                </c:pt>
                <c:pt idx="2">
                  <c:v>0</c:v>
                </c:pt>
                <c:pt idx="3">
                  <c:v>0</c:v>
                </c:pt>
              </c:numCache>
            </c:numRef>
          </c:val>
        </c:ser>
        <c:dLbls/>
        <c:marker val="1"/>
        <c:axId val="312250368"/>
        <c:axId val="312251904"/>
      </c:lineChart>
      <c:catAx>
        <c:axId val="312250368"/>
        <c:scaling>
          <c:orientation val="minMax"/>
        </c:scaling>
        <c:axPos val="b"/>
        <c:numFmt formatCode="General" sourceLinked="1"/>
        <c:tickLblPos val="nextTo"/>
        <c:txPr>
          <a:bodyPr rot="-5400000" vert="horz"/>
          <a:lstStyle/>
          <a:p>
            <a:pPr>
              <a:defRPr lang="en-US" sz="1000" b="0" i="0" u="none" strike="noStrike" baseline="0">
                <a:solidFill>
                  <a:srgbClr val="FFFFFF"/>
                </a:solidFill>
                <a:latin typeface="Calibri"/>
                <a:ea typeface="Calibri"/>
                <a:cs typeface="Calibri"/>
              </a:defRPr>
            </a:pPr>
            <a:endParaRPr lang="ko-KR"/>
          </a:p>
        </c:txPr>
        <c:crossAx val="312251904"/>
        <c:crosses val="autoZero"/>
        <c:auto val="1"/>
        <c:lblAlgn val="ctr"/>
        <c:lblOffset val="100"/>
      </c:catAx>
      <c:valAx>
        <c:axId val="312251904"/>
        <c:scaling>
          <c:orientation val="minMax"/>
        </c:scaling>
        <c:axPos val="l"/>
        <c:majorGridlines/>
        <c:numFmt formatCode="General"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2250368"/>
        <c:crosses val="autoZero"/>
        <c:crossBetween val="between"/>
      </c:valAx>
    </c:plotArea>
    <c:plotVisOnly val="1"/>
    <c:dispBlanksAs val="gap"/>
  </c:chart>
  <c:txPr>
    <a:bodyPr/>
    <a:lstStyle/>
    <a:p>
      <a:pPr>
        <a:defRPr sz="1000" b="0" i="0" u="none" strike="noStrike" baseline="0">
          <a:solidFill>
            <a:srgbClr val="FFFFFF"/>
          </a:solidFill>
          <a:latin typeface="Calibri"/>
          <a:ea typeface="Calibri"/>
          <a:cs typeface="Calibri"/>
        </a:defRPr>
      </a:pPr>
      <a:endParaRPr lang="ko-KR"/>
    </a:p>
  </c:txPr>
  <c:printSettings>
    <c:headerFooter/>
    <c:pageMargins b="0.75000000000000366" l="0.70000000000000062" r="0.70000000000000062" t="0.750000000000003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ko-KR"/>
  <c:style val="42"/>
  <c:chart>
    <c:title>
      <c:tx>
        <c:rich>
          <a:bodyPr/>
          <a:lstStyle/>
          <a:p>
            <a:pPr>
              <a:defRPr lang="en-US" sz="1400" b="1" i="0" u="none" strike="noStrike" baseline="0">
                <a:solidFill>
                  <a:srgbClr val="FFFFFF"/>
                </a:solidFill>
                <a:latin typeface="Calibri"/>
                <a:ea typeface="Calibri"/>
                <a:cs typeface="Calibri"/>
              </a:defRPr>
            </a:pPr>
            <a:r>
              <a:rPr lang="en-US" sz="1400"/>
              <a:t>Estimate vs Actual Effort</a:t>
            </a:r>
          </a:p>
        </c:rich>
      </c:tx>
      <c:layout/>
      <c:spPr>
        <a:noFill/>
        <a:ln w="25400">
          <a:noFill/>
        </a:ln>
      </c:spPr>
    </c:title>
    <c:plotArea>
      <c:layout>
        <c:manualLayout>
          <c:layoutTarget val="inner"/>
          <c:xMode val="edge"/>
          <c:yMode val="edge"/>
          <c:x val="9.9368891105806642E-2"/>
          <c:y val="0.15715241477168296"/>
          <c:w val="0.89761451764230815"/>
          <c:h val="0.63519707095436595"/>
        </c:manualLayout>
      </c:layout>
      <c:barChart>
        <c:barDir val="col"/>
        <c:grouping val="clustered"/>
        <c:ser>
          <c:idx val="5"/>
          <c:order val="0"/>
          <c:tx>
            <c:strRef>
              <c:f>'Sp2'!$U$10</c:f>
              <c:strCache>
                <c:ptCount val="1"/>
                <c:pt idx="0">
                  <c:v>Est</c:v>
                </c:pt>
              </c:strCache>
            </c:strRef>
          </c:tx>
          <c:cat>
            <c:strRef>
              <c:f>'Sp2'!$T$11:$T$17</c:f>
              <c:strCache>
                <c:ptCount val="6"/>
                <c:pt idx="0">
                  <c:v>SungeunKim</c:v>
                </c:pt>
                <c:pt idx="1">
                  <c:v>TommyPark</c:v>
                </c:pt>
                <c:pt idx="2">
                  <c:v>Vijay</c:v>
                </c:pt>
                <c:pt idx="3">
                  <c:v>ByungseonShin</c:v>
                </c:pt>
                <c:pt idx="4">
                  <c:v>JugwanEom</c:v>
                </c:pt>
                <c:pt idx="5">
                  <c:v>JinyoungDu</c:v>
                </c:pt>
              </c:strCache>
            </c:strRef>
          </c:cat>
          <c:val>
            <c:numRef>
              <c:f>'Sp2'!$U$11:$U$17</c:f>
              <c:numCache>
                <c:formatCode>0;\-0;;@\ </c:formatCode>
                <c:ptCount val="7"/>
                <c:pt idx="0">
                  <c:v>0</c:v>
                </c:pt>
                <c:pt idx="1">
                  <c:v>0</c:v>
                </c:pt>
                <c:pt idx="2">
                  <c:v>0</c:v>
                </c:pt>
                <c:pt idx="3">
                  <c:v>0</c:v>
                </c:pt>
                <c:pt idx="4">
                  <c:v>0</c:v>
                </c:pt>
                <c:pt idx="5">
                  <c:v>0</c:v>
                </c:pt>
                <c:pt idx="6">
                  <c:v>0</c:v>
                </c:pt>
              </c:numCache>
            </c:numRef>
          </c:val>
        </c:ser>
        <c:ser>
          <c:idx val="6"/>
          <c:order val="1"/>
          <c:tx>
            <c:strRef>
              <c:f>'Sp2'!$V$10</c:f>
              <c:strCache>
                <c:ptCount val="1"/>
                <c:pt idx="0">
                  <c:v>Effort</c:v>
                </c:pt>
              </c:strCache>
            </c:strRef>
          </c:tx>
          <c:cat>
            <c:strRef>
              <c:f>'Sp2'!$T$11:$T$17</c:f>
              <c:strCache>
                <c:ptCount val="6"/>
                <c:pt idx="0">
                  <c:v>SungeunKim</c:v>
                </c:pt>
                <c:pt idx="1">
                  <c:v>TommyPark</c:v>
                </c:pt>
                <c:pt idx="2">
                  <c:v>Vijay</c:v>
                </c:pt>
                <c:pt idx="3">
                  <c:v>ByungseonShin</c:v>
                </c:pt>
                <c:pt idx="4">
                  <c:v>JugwanEom</c:v>
                </c:pt>
                <c:pt idx="5">
                  <c:v>JinyoungDu</c:v>
                </c:pt>
              </c:strCache>
            </c:strRef>
          </c:cat>
          <c:val>
            <c:numRef>
              <c:f>'Sp2'!$V$11:$V$17</c:f>
              <c:numCache>
                <c:formatCode>0;\-0;;@\ </c:formatCode>
                <c:ptCount val="7"/>
                <c:pt idx="0">
                  <c:v>0</c:v>
                </c:pt>
                <c:pt idx="1">
                  <c:v>0</c:v>
                </c:pt>
                <c:pt idx="2">
                  <c:v>0</c:v>
                </c:pt>
                <c:pt idx="3">
                  <c:v>0</c:v>
                </c:pt>
                <c:pt idx="4">
                  <c:v>0</c:v>
                </c:pt>
                <c:pt idx="5">
                  <c:v>0</c:v>
                </c:pt>
                <c:pt idx="6">
                  <c:v>0</c:v>
                </c:pt>
              </c:numCache>
            </c:numRef>
          </c:val>
        </c:ser>
        <c:dLbls/>
        <c:gapWidth val="75"/>
        <c:overlap val="-25"/>
        <c:axId val="314575104"/>
        <c:axId val="314589184"/>
      </c:barChart>
      <c:catAx>
        <c:axId val="314575104"/>
        <c:scaling>
          <c:orientation val="minMax"/>
        </c:scaling>
        <c:axPos val="b"/>
        <c:numFmt formatCode="General" sourceLinked="1"/>
        <c:majorTickMark val="none"/>
        <c:tickLblPos val="low"/>
        <c:txPr>
          <a:bodyPr rot="-5400000" vert="horz"/>
          <a:lstStyle/>
          <a:p>
            <a:pPr>
              <a:defRPr lang="en-US" sz="900" b="0" i="0" u="none" strike="noStrike" baseline="0">
                <a:solidFill>
                  <a:srgbClr val="FFFFFF"/>
                </a:solidFill>
                <a:latin typeface="Calibri"/>
                <a:ea typeface="Calibri"/>
                <a:cs typeface="Calibri"/>
              </a:defRPr>
            </a:pPr>
            <a:endParaRPr lang="ko-KR"/>
          </a:p>
        </c:txPr>
        <c:crossAx val="314589184"/>
        <c:crosses val="autoZero"/>
        <c:lblAlgn val="ctr"/>
        <c:lblOffset val="100"/>
      </c:catAx>
      <c:valAx>
        <c:axId val="314589184"/>
        <c:scaling>
          <c:orientation val="minMax"/>
        </c:scaling>
        <c:axPos val="l"/>
        <c:majorGridlines/>
        <c:numFmt formatCode="0;\-0;;@\ " sourceLinked="1"/>
        <c:majorTickMark val="none"/>
        <c:tickLblPos val="nextTo"/>
        <c:spPr>
          <a:ln w="9525">
            <a:noFill/>
          </a:ln>
        </c:spPr>
        <c:txPr>
          <a:bodyPr rot="0" vert="horz"/>
          <a:lstStyle/>
          <a:p>
            <a:pPr>
              <a:defRPr lang="en-US" sz="1000" b="0" i="0" u="none" strike="noStrike" baseline="0">
                <a:solidFill>
                  <a:srgbClr val="FFFFFF"/>
                </a:solidFill>
                <a:latin typeface="Calibri"/>
                <a:ea typeface="Calibri"/>
                <a:cs typeface="Calibri"/>
              </a:defRPr>
            </a:pPr>
            <a:endParaRPr lang="ko-KR"/>
          </a:p>
        </c:txPr>
        <c:crossAx val="314575104"/>
        <c:crosses val="autoZero"/>
        <c:crossBetween val="between"/>
      </c:valAx>
    </c:plotArea>
    <c:legend>
      <c:legendPos val="b"/>
      <c:layout/>
      <c:txPr>
        <a:bodyPr/>
        <a:lstStyle/>
        <a:p>
          <a:pPr>
            <a:defRPr lang="en-US" sz="920" b="0" i="0" u="none" strike="noStrike" baseline="0">
              <a:solidFill>
                <a:srgbClr val="FFFFFF"/>
              </a:solidFill>
              <a:latin typeface="Calibri"/>
              <a:ea typeface="Calibri"/>
              <a:cs typeface="Calibri"/>
            </a:defRPr>
          </a:pPr>
          <a:endParaRPr lang="ko-KR"/>
        </a:p>
      </c:txPr>
    </c:legend>
    <c:plotVisOnly val="1"/>
    <c:dispBlanksAs val="gap"/>
  </c:chart>
  <c:txPr>
    <a:bodyPr/>
    <a:lstStyle/>
    <a:p>
      <a:pPr>
        <a:defRPr sz="1000" b="0" i="0" u="none" strike="noStrike" baseline="0">
          <a:solidFill>
            <a:srgbClr val="FFFFFF"/>
          </a:solidFill>
          <a:latin typeface="Calibri"/>
          <a:ea typeface="Calibri"/>
          <a:cs typeface="Calibri"/>
        </a:defRPr>
      </a:pPr>
      <a:endParaRPr lang="ko-KR"/>
    </a:p>
  </c:txPr>
  <c:printSettings>
    <c:headerFooter/>
    <c:pageMargins b="0.75000000000000322" l="0.70000000000000062" r="0.70000000000000062" t="0.75000000000000322"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ko-KR"/>
  <c:style val="45"/>
  <c:chart>
    <c:title>
      <c:tx>
        <c:rich>
          <a:bodyPr/>
          <a:lstStyle/>
          <a:p>
            <a:pPr>
              <a:defRPr lang="en-US" sz="1400" b="1" i="0" u="none" strike="noStrike" baseline="0">
                <a:solidFill>
                  <a:srgbClr val="FFFFFF"/>
                </a:solidFill>
                <a:latin typeface="Calibri"/>
                <a:ea typeface="Calibri"/>
                <a:cs typeface="Calibri"/>
              </a:defRPr>
            </a:pPr>
            <a:r>
              <a:rPr lang="en-US" sz="1400"/>
              <a:t>Burn down Chart</a:t>
            </a:r>
          </a:p>
        </c:rich>
      </c:tx>
      <c:layout>
        <c:manualLayout>
          <c:xMode val="edge"/>
          <c:yMode val="edge"/>
          <c:x val="2.1762831485529283E-2"/>
          <c:y val="4.6725025293626104E-3"/>
        </c:manualLayout>
      </c:layout>
      <c:spPr>
        <a:noFill/>
        <a:ln w="25400">
          <a:noFill/>
        </a:ln>
      </c:spPr>
    </c:title>
    <c:plotArea>
      <c:layout>
        <c:manualLayout>
          <c:layoutTarget val="inner"/>
          <c:xMode val="edge"/>
          <c:yMode val="edge"/>
          <c:x val="0.17885796048069241"/>
          <c:y val="0.12228976754249805"/>
          <c:w val="0.74296250033617961"/>
          <c:h val="0.64832496505117965"/>
        </c:manualLayout>
      </c:layout>
      <c:lineChart>
        <c:grouping val="standard"/>
        <c:ser>
          <c:idx val="0"/>
          <c:order val="0"/>
          <c:val>
            <c:numRef>
              <c:f>'Sp3'!$W$24:$AA$24</c:f>
              <c:numCache>
                <c:formatCode>0;\-0;;@\ </c:formatCode>
                <c:ptCount val="5"/>
                <c:pt idx="0">
                  <c:v>0</c:v>
                </c:pt>
                <c:pt idx="1">
                  <c:v>0</c:v>
                </c:pt>
                <c:pt idx="2">
                  <c:v>0</c:v>
                </c:pt>
                <c:pt idx="3">
                  <c:v>0</c:v>
                </c:pt>
                <c:pt idx="4">
                  <c:v>0</c:v>
                </c:pt>
              </c:numCache>
            </c:numRef>
          </c:val>
        </c:ser>
        <c:dLbls/>
        <c:marker val="1"/>
        <c:axId val="314622720"/>
        <c:axId val="314624640"/>
      </c:lineChart>
      <c:catAx>
        <c:axId val="314622720"/>
        <c:scaling>
          <c:orientation val="minMax"/>
        </c:scaling>
        <c:axPos val="b"/>
        <c:title>
          <c:tx>
            <c:rich>
              <a:bodyPr/>
              <a:lstStyle/>
              <a:p>
                <a:pPr>
                  <a:defRPr lang="en-US" sz="1000" b="1" i="0" u="none" strike="noStrike" baseline="0">
                    <a:solidFill>
                      <a:srgbClr val="FFFFFF"/>
                    </a:solidFill>
                    <a:latin typeface="Calibri"/>
                    <a:ea typeface="Calibri"/>
                    <a:cs typeface="Calibri"/>
                  </a:defRPr>
                </a:pPr>
                <a:r>
                  <a:rPr lang="en-US"/>
                  <a:t>Sprint day</a:t>
                </a:r>
              </a:p>
            </c:rich>
          </c:tx>
          <c:layout>
            <c:manualLayout>
              <c:xMode val="edge"/>
              <c:yMode val="edge"/>
              <c:x val="0.41443938236817385"/>
              <c:y val="0.89426267247320368"/>
            </c:manualLayout>
          </c:layout>
          <c:spPr>
            <a:noFill/>
            <a:ln w="25400">
              <a:noFill/>
            </a:ln>
          </c:spPr>
        </c:title>
        <c:numFmt formatCode="General"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4624640"/>
        <c:crosses val="autoZero"/>
        <c:auto val="1"/>
        <c:lblAlgn val="ctr"/>
        <c:lblOffset val="100"/>
        <c:tickLblSkip val="1"/>
        <c:tickMarkSkip val="1"/>
      </c:catAx>
      <c:valAx>
        <c:axId val="314624640"/>
        <c:scaling>
          <c:orientation val="minMax"/>
        </c:scaling>
        <c:axPos val="l"/>
        <c:majorGridlines/>
        <c:title>
          <c:tx>
            <c:rich>
              <a:bodyPr/>
              <a:lstStyle/>
              <a:p>
                <a:pPr>
                  <a:defRPr lang="en-US" sz="1200" b="1" i="0" u="none" strike="noStrike" baseline="0">
                    <a:solidFill>
                      <a:srgbClr val="FFFFFF"/>
                    </a:solidFill>
                    <a:latin typeface="Calibri"/>
                    <a:ea typeface="Calibri"/>
                    <a:cs typeface="Calibri"/>
                  </a:defRPr>
                </a:pPr>
                <a:r>
                  <a:rPr lang="en-US"/>
                  <a:t>Remaining Effort</a:t>
                </a:r>
              </a:p>
            </c:rich>
          </c:tx>
          <c:layout>
            <c:manualLayout>
              <c:xMode val="edge"/>
              <c:yMode val="edge"/>
              <c:x val="2.5302188397018934E-3"/>
              <c:y val="0.28058651886391384"/>
            </c:manualLayout>
          </c:layout>
          <c:spPr>
            <a:noFill/>
            <a:ln w="25400">
              <a:noFill/>
            </a:ln>
          </c:spPr>
        </c:title>
        <c:numFmt formatCode="0;\-0;;@\ "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4622720"/>
        <c:crosses val="autoZero"/>
        <c:crossBetween val="between"/>
      </c:valAx>
    </c:plotArea>
    <c:plotVisOnly val="1"/>
    <c:dispBlanksAs val="gap"/>
  </c:chart>
  <c:txPr>
    <a:bodyPr/>
    <a:lstStyle/>
    <a:p>
      <a:pPr>
        <a:defRPr sz="1000" b="0" i="0" u="none" strike="noStrike" baseline="0">
          <a:solidFill>
            <a:srgbClr val="FFFFFF"/>
          </a:solidFill>
          <a:latin typeface="Calibri"/>
          <a:ea typeface="Calibri"/>
          <a:cs typeface="Calibri"/>
        </a:defRPr>
      </a:pPr>
      <a:endParaRPr lang="ko-KR"/>
    </a:p>
  </c:txPr>
  <c:printSettings>
    <c:headerFooter alignWithMargins="0"/>
    <c:pageMargins b="1" l="0.75000000000000322" r="0.75000000000000322"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ko-KR"/>
  <c:style val="45"/>
  <c:chart>
    <c:title>
      <c:tx>
        <c:rich>
          <a:bodyPr/>
          <a:lstStyle/>
          <a:p>
            <a:pPr>
              <a:defRPr lang="en-US" sz="1400" b="1" i="0" u="none" strike="noStrike" baseline="0">
                <a:solidFill>
                  <a:srgbClr val="FFFFFF"/>
                </a:solidFill>
                <a:latin typeface="Calibri"/>
                <a:ea typeface="Calibri"/>
                <a:cs typeface="Calibri"/>
              </a:defRPr>
            </a:pPr>
            <a:r>
              <a:rPr lang="en-US" sz="1400"/>
              <a:t>Status</a:t>
            </a:r>
          </a:p>
        </c:rich>
      </c:tx>
      <c:layout/>
      <c:spPr>
        <a:noFill/>
        <a:ln w="25400">
          <a:noFill/>
        </a:ln>
      </c:spPr>
    </c:title>
    <c:plotArea>
      <c:layout>
        <c:manualLayout>
          <c:layoutTarget val="inner"/>
          <c:xMode val="edge"/>
          <c:yMode val="edge"/>
          <c:x val="0.12062256809338522"/>
          <c:y val="0.12813370473537605"/>
          <c:w val="0.87159533073929962"/>
          <c:h val="0.62674094707521066"/>
        </c:manualLayout>
      </c:layout>
      <c:lineChart>
        <c:grouping val="standard"/>
        <c:ser>
          <c:idx val="0"/>
          <c:order val="0"/>
          <c:cat>
            <c:strRef>
              <c:f>'Sp3'!$T$3:$T$6</c:f>
              <c:strCache>
                <c:ptCount val="4"/>
                <c:pt idx="0">
                  <c:v>Completed</c:v>
                </c:pt>
                <c:pt idx="1">
                  <c:v>InProgress</c:v>
                </c:pt>
                <c:pt idx="2">
                  <c:v>Deferred</c:v>
                </c:pt>
                <c:pt idx="3">
                  <c:v>NotStarted</c:v>
                </c:pt>
              </c:strCache>
            </c:strRef>
          </c:cat>
          <c:val>
            <c:numRef>
              <c:f>'Sp3'!$U$3:$U$6</c:f>
              <c:numCache>
                <c:formatCode>General</c:formatCode>
                <c:ptCount val="4"/>
                <c:pt idx="0">
                  <c:v>0</c:v>
                </c:pt>
                <c:pt idx="1">
                  <c:v>0</c:v>
                </c:pt>
                <c:pt idx="2">
                  <c:v>0</c:v>
                </c:pt>
                <c:pt idx="3">
                  <c:v>0</c:v>
                </c:pt>
              </c:numCache>
            </c:numRef>
          </c:val>
        </c:ser>
        <c:dLbls/>
        <c:marker val="1"/>
        <c:axId val="313428608"/>
        <c:axId val="313438592"/>
      </c:lineChart>
      <c:catAx>
        <c:axId val="313428608"/>
        <c:scaling>
          <c:orientation val="minMax"/>
        </c:scaling>
        <c:axPos val="b"/>
        <c:numFmt formatCode="General" sourceLinked="1"/>
        <c:tickLblPos val="nextTo"/>
        <c:txPr>
          <a:bodyPr rot="-5400000" vert="horz"/>
          <a:lstStyle/>
          <a:p>
            <a:pPr>
              <a:defRPr lang="en-US" sz="1000" b="0" i="0" u="none" strike="noStrike" baseline="0">
                <a:solidFill>
                  <a:srgbClr val="FFFFFF"/>
                </a:solidFill>
                <a:latin typeface="Calibri"/>
                <a:ea typeface="Calibri"/>
                <a:cs typeface="Calibri"/>
              </a:defRPr>
            </a:pPr>
            <a:endParaRPr lang="ko-KR"/>
          </a:p>
        </c:txPr>
        <c:crossAx val="313438592"/>
        <c:crosses val="autoZero"/>
        <c:auto val="1"/>
        <c:lblAlgn val="ctr"/>
        <c:lblOffset val="100"/>
      </c:catAx>
      <c:valAx>
        <c:axId val="313438592"/>
        <c:scaling>
          <c:orientation val="minMax"/>
        </c:scaling>
        <c:axPos val="l"/>
        <c:majorGridlines/>
        <c:numFmt formatCode="General" sourceLinked="1"/>
        <c:tickLblPos val="nextTo"/>
        <c:txPr>
          <a:bodyPr rot="0" vert="horz"/>
          <a:lstStyle/>
          <a:p>
            <a:pPr>
              <a:defRPr lang="en-US" sz="1000" b="0" i="0" u="none" strike="noStrike" baseline="0">
                <a:solidFill>
                  <a:srgbClr val="FFFFFF"/>
                </a:solidFill>
                <a:latin typeface="Calibri"/>
                <a:ea typeface="Calibri"/>
                <a:cs typeface="Calibri"/>
              </a:defRPr>
            </a:pPr>
            <a:endParaRPr lang="ko-KR"/>
          </a:p>
        </c:txPr>
        <c:crossAx val="313428608"/>
        <c:crosses val="autoZero"/>
        <c:crossBetween val="between"/>
      </c:valAx>
    </c:plotArea>
    <c:plotVisOnly val="1"/>
    <c:dispBlanksAs val="gap"/>
  </c:chart>
  <c:txPr>
    <a:bodyPr/>
    <a:lstStyle/>
    <a:p>
      <a:pPr>
        <a:defRPr sz="1000" b="0" i="0" u="none" strike="noStrike" baseline="0">
          <a:solidFill>
            <a:srgbClr val="FFFFFF"/>
          </a:solidFill>
          <a:latin typeface="Calibri"/>
          <a:ea typeface="Calibri"/>
          <a:cs typeface="Calibri"/>
        </a:defRPr>
      </a:pPr>
      <a:endParaRPr lang="ko-KR"/>
    </a:p>
  </c:txPr>
  <c:printSettings>
    <c:headerFooter/>
    <c:pageMargins b="0.75000000000000366" l="0.70000000000000062" r="0.70000000000000062" t="0.750000000000003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ko-KR"/>
  <c:style val="42"/>
  <c:chart>
    <c:title>
      <c:tx>
        <c:rich>
          <a:bodyPr/>
          <a:lstStyle/>
          <a:p>
            <a:pPr>
              <a:defRPr lang="en-US" sz="1400" b="1" i="0" u="none" strike="noStrike" baseline="0">
                <a:solidFill>
                  <a:srgbClr val="FFFFFF"/>
                </a:solidFill>
                <a:latin typeface="Calibri"/>
                <a:ea typeface="Calibri"/>
                <a:cs typeface="Calibri"/>
              </a:defRPr>
            </a:pPr>
            <a:r>
              <a:rPr lang="en-US" sz="1400"/>
              <a:t>Estimate vs Actual Effort</a:t>
            </a:r>
          </a:p>
        </c:rich>
      </c:tx>
      <c:layout/>
      <c:spPr>
        <a:noFill/>
        <a:ln w="25400">
          <a:noFill/>
        </a:ln>
      </c:spPr>
    </c:title>
    <c:plotArea>
      <c:layout>
        <c:manualLayout>
          <c:layoutTarget val="inner"/>
          <c:xMode val="edge"/>
          <c:yMode val="edge"/>
          <c:x val="9.9368891105806642E-2"/>
          <c:y val="0.15715241477168296"/>
          <c:w val="0.89761451764230815"/>
          <c:h val="0.63519707095436595"/>
        </c:manualLayout>
      </c:layout>
      <c:barChart>
        <c:barDir val="col"/>
        <c:grouping val="clustered"/>
        <c:ser>
          <c:idx val="5"/>
          <c:order val="0"/>
          <c:tx>
            <c:strRef>
              <c:f>'Sp3'!$U$10</c:f>
              <c:strCache>
                <c:ptCount val="1"/>
                <c:pt idx="0">
                  <c:v>Est</c:v>
                </c:pt>
              </c:strCache>
            </c:strRef>
          </c:tx>
          <c:cat>
            <c:strRef>
              <c:f>'Sp3'!$T$11:$T$17</c:f>
              <c:strCache>
                <c:ptCount val="6"/>
                <c:pt idx="0">
                  <c:v>SungeunKim</c:v>
                </c:pt>
                <c:pt idx="1">
                  <c:v>TommyPark</c:v>
                </c:pt>
                <c:pt idx="2">
                  <c:v>Vijay</c:v>
                </c:pt>
                <c:pt idx="3">
                  <c:v>ByungseonShin</c:v>
                </c:pt>
                <c:pt idx="4">
                  <c:v>JugwanEom</c:v>
                </c:pt>
                <c:pt idx="5">
                  <c:v>JinyoungDu</c:v>
                </c:pt>
              </c:strCache>
            </c:strRef>
          </c:cat>
          <c:val>
            <c:numRef>
              <c:f>'Sp3'!$U$11:$U$17</c:f>
              <c:numCache>
                <c:formatCode>0;\-0;;@\ </c:formatCode>
                <c:ptCount val="7"/>
                <c:pt idx="0">
                  <c:v>0</c:v>
                </c:pt>
                <c:pt idx="1">
                  <c:v>0</c:v>
                </c:pt>
                <c:pt idx="2">
                  <c:v>0</c:v>
                </c:pt>
                <c:pt idx="3">
                  <c:v>0</c:v>
                </c:pt>
                <c:pt idx="4">
                  <c:v>0</c:v>
                </c:pt>
                <c:pt idx="5">
                  <c:v>0</c:v>
                </c:pt>
                <c:pt idx="6">
                  <c:v>0</c:v>
                </c:pt>
              </c:numCache>
            </c:numRef>
          </c:val>
        </c:ser>
        <c:ser>
          <c:idx val="6"/>
          <c:order val="1"/>
          <c:tx>
            <c:strRef>
              <c:f>'Sp3'!$V$10</c:f>
              <c:strCache>
                <c:ptCount val="1"/>
                <c:pt idx="0">
                  <c:v>Effort</c:v>
                </c:pt>
              </c:strCache>
            </c:strRef>
          </c:tx>
          <c:cat>
            <c:strRef>
              <c:f>'Sp3'!$T$11:$T$17</c:f>
              <c:strCache>
                <c:ptCount val="6"/>
                <c:pt idx="0">
                  <c:v>SungeunKim</c:v>
                </c:pt>
                <c:pt idx="1">
                  <c:v>TommyPark</c:v>
                </c:pt>
                <c:pt idx="2">
                  <c:v>Vijay</c:v>
                </c:pt>
                <c:pt idx="3">
                  <c:v>ByungseonShin</c:v>
                </c:pt>
                <c:pt idx="4">
                  <c:v>JugwanEom</c:v>
                </c:pt>
                <c:pt idx="5">
                  <c:v>JinyoungDu</c:v>
                </c:pt>
              </c:strCache>
            </c:strRef>
          </c:cat>
          <c:val>
            <c:numRef>
              <c:f>'Sp3'!$V$11:$V$17</c:f>
              <c:numCache>
                <c:formatCode>0;\-0;;@\ </c:formatCode>
                <c:ptCount val="7"/>
                <c:pt idx="0">
                  <c:v>0</c:v>
                </c:pt>
                <c:pt idx="1">
                  <c:v>0</c:v>
                </c:pt>
                <c:pt idx="2">
                  <c:v>0</c:v>
                </c:pt>
                <c:pt idx="3">
                  <c:v>0</c:v>
                </c:pt>
                <c:pt idx="4">
                  <c:v>0</c:v>
                </c:pt>
                <c:pt idx="5">
                  <c:v>0</c:v>
                </c:pt>
                <c:pt idx="6">
                  <c:v>0</c:v>
                </c:pt>
              </c:numCache>
            </c:numRef>
          </c:val>
        </c:ser>
        <c:dLbls/>
        <c:gapWidth val="75"/>
        <c:overlap val="-25"/>
        <c:axId val="314614912"/>
        <c:axId val="314616448"/>
      </c:barChart>
      <c:catAx>
        <c:axId val="314614912"/>
        <c:scaling>
          <c:orientation val="minMax"/>
        </c:scaling>
        <c:axPos val="b"/>
        <c:numFmt formatCode="General" sourceLinked="1"/>
        <c:majorTickMark val="none"/>
        <c:tickLblPos val="low"/>
        <c:txPr>
          <a:bodyPr rot="-5400000" vert="horz"/>
          <a:lstStyle/>
          <a:p>
            <a:pPr>
              <a:defRPr lang="en-US" sz="900" b="0" i="0" u="none" strike="noStrike" baseline="0">
                <a:solidFill>
                  <a:srgbClr val="FFFFFF"/>
                </a:solidFill>
                <a:latin typeface="Calibri"/>
                <a:ea typeface="Calibri"/>
                <a:cs typeface="Calibri"/>
              </a:defRPr>
            </a:pPr>
            <a:endParaRPr lang="ko-KR"/>
          </a:p>
        </c:txPr>
        <c:crossAx val="314616448"/>
        <c:crosses val="autoZero"/>
        <c:lblAlgn val="ctr"/>
        <c:lblOffset val="100"/>
      </c:catAx>
      <c:valAx>
        <c:axId val="314616448"/>
        <c:scaling>
          <c:orientation val="minMax"/>
        </c:scaling>
        <c:axPos val="l"/>
        <c:majorGridlines/>
        <c:numFmt formatCode="0;\-0;;@\ " sourceLinked="1"/>
        <c:majorTickMark val="none"/>
        <c:tickLblPos val="nextTo"/>
        <c:spPr>
          <a:ln w="9525">
            <a:noFill/>
          </a:ln>
        </c:spPr>
        <c:txPr>
          <a:bodyPr rot="0" vert="horz"/>
          <a:lstStyle/>
          <a:p>
            <a:pPr>
              <a:defRPr lang="en-US" sz="1000" b="0" i="0" u="none" strike="noStrike" baseline="0">
                <a:solidFill>
                  <a:srgbClr val="FFFFFF"/>
                </a:solidFill>
                <a:latin typeface="Calibri"/>
                <a:ea typeface="Calibri"/>
                <a:cs typeface="Calibri"/>
              </a:defRPr>
            </a:pPr>
            <a:endParaRPr lang="ko-KR"/>
          </a:p>
        </c:txPr>
        <c:crossAx val="314614912"/>
        <c:crosses val="autoZero"/>
        <c:crossBetween val="between"/>
      </c:valAx>
    </c:plotArea>
    <c:legend>
      <c:legendPos val="b"/>
      <c:layout/>
      <c:txPr>
        <a:bodyPr/>
        <a:lstStyle/>
        <a:p>
          <a:pPr>
            <a:defRPr lang="en-US" sz="920" b="0" i="0" u="none" strike="noStrike" baseline="0">
              <a:solidFill>
                <a:srgbClr val="FFFFFF"/>
              </a:solidFill>
              <a:latin typeface="Calibri"/>
              <a:ea typeface="Calibri"/>
              <a:cs typeface="Calibri"/>
            </a:defRPr>
          </a:pPr>
          <a:endParaRPr lang="ko-KR"/>
        </a:p>
      </c:txPr>
    </c:legend>
    <c:plotVisOnly val="1"/>
    <c:dispBlanksAs val="gap"/>
  </c:chart>
  <c:txPr>
    <a:bodyPr/>
    <a:lstStyle/>
    <a:p>
      <a:pPr>
        <a:defRPr sz="1000" b="0" i="0" u="none" strike="noStrike" baseline="0">
          <a:solidFill>
            <a:srgbClr val="FFFFFF"/>
          </a:solidFill>
          <a:latin typeface="Calibri"/>
          <a:ea typeface="Calibri"/>
          <a:cs typeface="Calibri"/>
        </a:defRPr>
      </a:pPr>
      <a:endParaRPr lang="ko-KR"/>
    </a:p>
  </c:txPr>
  <c:printSettings>
    <c:headerFooter/>
    <c:pageMargins b="0.75000000000000322" l="0.70000000000000062" r="0.70000000000000062" t="0.75000000000000322"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104775</xdr:colOff>
      <xdr:row>5</xdr:row>
      <xdr:rowOff>180975</xdr:rowOff>
    </xdr:from>
    <xdr:to>
      <xdr:col>3</xdr:col>
      <xdr:colOff>3876675</xdr:colOff>
      <xdr:row>22</xdr:row>
      <xdr:rowOff>28575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6</xdr:row>
      <xdr:rowOff>0</xdr:rowOff>
    </xdr:from>
    <xdr:to>
      <xdr:col>6</xdr:col>
      <xdr:colOff>285750</xdr:colOff>
      <xdr:row>21</xdr:row>
      <xdr:rowOff>114300</xdr:rowOff>
    </xdr:to>
    <xdr:graphicFrame macro="">
      <xdr:nvGraphicFramePr>
        <xdr:cNvPr id="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371475</xdr:colOff>
      <xdr:row>5</xdr:row>
      <xdr:rowOff>180975</xdr:rowOff>
    </xdr:from>
    <xdr:to>
      <xdr:col>18</xdr:col>
      <xdr:colOff>581025</xdr:colOff>
      <xdr:row>22</xdr:row>
      <xdr:rowOff>19050</xdr:rowOff>
    </xdr:to>
    <xdr:graphicFrame macro="">
      <xdr:nvGraphicFramePr>
        <xdr:cNvPr id="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133350</xdr:colOff>
      <xdr:row>6</xdr:row>
      <xdr:rowOff>0</xdr:rowOff>
    </xdr:from>
    <xdr:to>
      <xdr:col>4</xdr:col>
      <xdr:colOff>28575</xdr:colOff>
      <xdr:row>22</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104775</xdr:colOff>
      <xdr:row>5</xdr:row>
      <xdr:rowOff>180975</xdr:rowOff>
    </xdr:from>
    <xdr:to>
      <xdr:col>3</xdr:col>
      <xdr:colOff>3876675</xdr:colOff>
      <xdr:row>22</xdr:row>
      <xdr:rowOff>28575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6</xdr:row>
      <xdr:rowOff>0</xdr:rowOff>
    </xdr:from>
    <xdr:to>
      <xdr:col>6</xdr:col>
      <xdr:colOff>285750</xdr:colOff>
      <xdr:row>21</xdr:row>
      <xdr:rowOff>114300</xdr:rowOff>
    </xdr:to>
    <xdr:graphicFrame macro="">
      <xdr:nvGraphicFramePr>
        <xdr:cNvPr id="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371475</xdr:colOff>
      <xdr:row>5</xdr:row>
      <xdr:rowOff>180975</xdr:rowOff>
    </xdr:from>
    <xdr:to>
      <xdr:col>18</xdr:col>
      <xdr:colOff>581025</xdr:colOff>
      <xdr:row>22</xdr:row>
      <xdr:rowOff>19050</xdr:rowOff>
    </xdr:to>
    <xdr:graphicFrame macro="">
      <xdr:nvGraphicFramePr>
        <xdr:cNvPr id="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104775</xdr:colOff>
      <xdr:row>5</xdr:row>
      <xdr:rowOff>180975</xdr:rowOff>
    </xdr:from>
    <xdr:to>
      <xdr:col>3</xdr:col>
      <xdr:colOff>3876675</xdr:colOff>
      <xdr:row>22</xdr:row>
      <xdr:rowOff>28575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6</xdr:row>
      <xdr:rowOff>0</xdr:rowOff>
    </xdr:from>
    <xdr:to>
      <xdr:col>6</xdr:col>
      <xdr:colOff>285750</xdr:colOff>
      <xdr:row>21</xdr:row>
      <xdr:rowOff>114300</xdr:rowOff>
    </xdr:to>
    <xdr:graphicFrame macro="">
      <xdr:nvGraphicFramePr>
        <xdr:cNvPr id="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371475</xdr:colOff>
      <xdr:row>5</xdr:row>
      <xdr:rowOff>180975</xdr:rowOff>
    </xdr:from>
    <xdr:to>
      <xdr:col>18</xdr:col>
      <xdr:colOff>581025</xdr:colOff>
      <xdr:row>22</xdr:row>
      <xdr:rowOff>19050</xdr:rowOff>
    </xdr:to>
    <xdr:graphicFrame macro="">
      <xdr:nvGraphicFramePr>
        <xdr:cNvPr id="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mailto:xingri@gmail.com" TargetMode="External"/><Relationship Id="rId7" Type="http://schemas.openxmlformats.org/officeDocument/2006/relationships/hyperlink" Target="mailto:al45@andrew.cmu.edu" TargetMode="External"/><Relationship Id="rId2" Type="http://schemas.openxmlformats.org/officeDocument/2006/relationships/hyperlink" Target="mailto:ddestiny82@gmail.com" TargetMode="External"/><Relationship Id="rId1" Type="http://schemas.openxmlformats.org/officeDocument/2006/relationships/hyperlink" Target="mailto:zugwan@gmail.com" TargetMode="External"/><Relationship Id="rId6" Type="http://schemas.openxmlformats.org/officeDocument/2006/relationships/hyperlink" Target="mailto:cleaneye@gmail.com" TargetMode="External"/><Relationship Id="rId5" Type="http://schemas.openxmlformats.org/officeDocument/2006/relationships/hyperlink" Target="mailto:vijayr123@gmail.com" TargetMode="External"/><Relationship Id="rId4" Type="http://schemas.openxmlformats.org/officeDocument/2006/relationships/hyperlink" Target="mailto:kyunglang@gmail.com"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sheetPr codeName="Sheet4"/>
  <dimension ref="A1:J15"/>
  <sheetViews>
    <sheetView workbookViewId="0">
      <selection activeCell="D4" sqref="D4"/>
    </sheetView>
  </sheetViews>
  <sheetFormatPr defaultRowHeight="16.5"/>
  <cols>
    <col min="1" max="1" width="14" bestFit="1" customWidth="1"/>
    <col min="2" max="2" width="17.625" customWidth="1"/>
    <col min="3" max="3" width="22.125" bestFit="1" customWidth="1"/>
    <col min="4" max="4" width="17.125" customWidth="1"/>
    <col min="5" max="5" width="18.875" hidden="1" customWidth="1"/>
    <col min="6" max="6" width="19.25" hidden="1" customWidth="1"/>
    <col min="7" max="7" width="10.75" hidden="1" customWidth="1"/>
    <col min="8" max="8" width="11.625" hidden="1" customWidth="1"/>
    <col min="9" max="9" width="12" hidden="1" customWidth="1"/>
    <col min="10" max="10" width="15.25" hidden="1" customWidth="1"/>
  </cols>
  <sheetData>
    <row r="1" spans="1:10">
      <c r="A1" s="68" t="s">
        <v>80</v>
      </c>
      <c r="B1" s="73" t="s">
        <v>111</v>
      </c>
    </row>
    <row r="2" spans="1:10">
      <c r="A2" s="68" t="s">
        <v>75</v>
      </c>
      <c r="B2" s="74">
        <v>41785</v>
      </c>
    </row>
    <row r="3" spans="1:10">
      <c r="A3" s="68" t="s">
        <v>76</v>
      </c>
      <c r="B3" s="74">
        <v>41817</v>
      </c>
    </row>
    <row r="4" spans="1:10">
      <c r="A4" s="68" t="s">
        <v>81</v>
      </c>
      <c r="B4" s="73" t="s">
        <v>102</v>
      </c>
    </row>
    <row r="5" spans="1:10">
      <c r="A5" s="68" t="s">
        <v>112</v>
      </c>
      <c r="B5" s="73" t="s">
        <v>113</v>
      </c>
    </row>
    <row r="7" spans="1:10">
      <c r="A7" s="67" t="s">
        <v>43</v>
      </c>
    </row>
    <row r="8" spans="1:10">
      <c r="A8" s="68" t="s">
        <v>59</v>
      </c>
      <c r="B8" s="68" t="s">
        <v>55</v>
      </c>
      <c r="C8" s="68" t="s">
        <v>82</v>
      </c>
      <c r="D8" s="68" t="s">
        <v>83</v>
      </c>
      <c r="E8" s="68" t="s">
        <v>84</v>
      </c>
      <c r="F8" s="68" t="s">
        <v>85</v>
      </c>
      <c r="G8" s="68" t="s">
        <v>86</v>
      </c>
      <c r="H8" s="68" t="s">
        <v>87</v>
      </c>
      <c r="I8" s="68" t="s">
        <v>88</v>
      </c>
      <c r="J8" s="69" t="s">
        <v>97</v>
      </c>
    </row>
    <row r="9" spans="1:10">
      <c r="A9" s="24">
        <v>1</v>
      </c>
      <c r="B9" s="24" t="s">
        <v>116</v>
      </c>
      <c r="C9" s="72" t="s">
        <v>109</v>
      </c>
      <c r="D9" s="24" t="s">
        <v>89</v>
      </c>
      <c r="E9" s="24"/>
      <c r="F9" s="24"/>
      <c r="G9" s="24"/>
      <c r="H9" s="24"/>
      <c r="I9" s="24"/>
      <c r="J9" s="24"/>
    </row>
    <row r="10" spans="1:10">
      <c r="A10" s="24">
        <v>2</v>
      </c>
      <c r="B10" s="24" t="s">
        <v>102</v>
      </c>
      <c r="C10" s="72" t="s">
        <v>110</v>
      </c>
      <c r="D10" s="24" t="s">
        <v>90</v>
      </c>
      <c r="E10" s="24"/>
      <c r="F10" s="24"/>
      <c r="G10" s="24"/>
      <c r="H10" s="24"/>
      <c r="I10" s="24"/>
      <c r="J10" s="24"/>
    </row>
    <row r="11" spans="1:10">
      <c r="A11" s="24">
        <v>3</v>
      </c>
      <c r="B11" s="24" t="s">
        <v>42</v>
      </c>
      <c r="C11" s="72" t="s">
        <v>108</v>
      </c>
      <c r="D11" s="24" t="s">
        <v>103</v>
      </c>
      <c r="E11" s="24"/>
      <c r="F11" s="24"/>
      <c r="G11" s="24"/>
      <c r="H11" s="24"/>
      <c r="I11" s="24"/>
      <c r="J11" s="24"/>
    </row>
    <row r="12" spans="1:10">
      <c r="A12" s="24">
        <v>4</v>
      </c>
      <c r="B12" s="24" t="s">
        <v>115</v>
      </c>
      <c r="C12" s="72" t="s">
        <v>107</v>
      </c>
      <c r="D12" s="24" t="s">
        <v>103</v>
      </c>
      <c r="E12" s="24"/>
      <c r="F12" s="24"/>
      <c r="G12" s="24"/>
      <c r="H12" s="24"/>
      <c r="I12" s="24"/>
      <c r="J12" s="24"/>
    </row>
    <row r="13" spans="1:10">
      <c r="A13" s="24">
        <v>5</v>
      </c>
      <c r="B13" s="24" t="s">
        <v>117</v>
      </c>
      <c r="C13" s="72" t="s">
        <v>106</v>
      </c>
      <c r="D13" s="24" t="s">
        <v>103</v>
      </c>
      <c r="E13" s="24"/>
      <c r="F13" s="24"/>
      <c r="G13" s="24"/>
      <c r="H13" s="24"/>
      <c r="I13" s="24"/>
      <c r="J13" s="24"/>
    </row>
    <row r="14" spans="1:10">
      <c r="A14" s="24">
        <v>6</v>
      </c>
      <c r="B14" s="24" t="s">
        <v>118</v>
      </c>
      <c r="C14" s="72" t="s">
        <v>104</v>
      </c>
      <c r="D14" s="24" t="s">
        <v>103</v>
      </c>
      <c r="E14" s="24"/>
      <c r="F14" s="24"/>
      <c r="G14" s="24"/>
      <c r="H14" s="24"/>
      <c r="I14" s="24"/>
      <c r="J14" s="24"/>
    </row>
    <row r="15" spans="1:10">
      <c r="A15" s="24">
        <v>7</v>
      </c>
      <c r="B15" s="24" t="s">
        <v>119</v>
      </c>
      <c r="C15" s="72" t="s">
        <v>105</v>
      </c>
      <c r="D15" s="24" t="s">
        <v>103</v>
      </c>
      <c r="E15" s="24"/>
      <c r="F15" s="24"/>
      <c r="G15" s="24"/>
      <c r="H15" s="24"/>
      <c r="I15" s="24"/>
      <c r="J15" s="24"/>
    </row>
  </sheetData>
  <phoneticPr fontId="15" type="noConversion"/>
  <hyperlinks>
    <hyperlink ref="C14" r:id="rId1"/>
    <hyperlink ref="C15" r:id="rId2"/>
    <hyperlink ref="C13" r:id="rId3"/>
    <hyperlink ref="C12" r:id="rId4"/>
    <hyperlink ref="C11" r:id="rId5"/>
    <hyperlink ref="C9" r:id="rId6"/>
    <hyperlink ref="C10" r:id="rId7"/>
  </hyperlinks>
  <pageMargins left="0.7" right="0.7" top="0.75" bottom="0.75" header="0.3" footer="0.3"/>
  <pageSetup orientation="portrait" r:id="rId8"/>
</worksheet>
</file>

<file path=xl/worksheets/sheet2.xml><?xml version="1.0" encoding="utf-8"?>
<worksheet xmlns="http://schemas.openxmlformats.org/spreadsheetml/2006/main" xmlns:r="http://schemas.openxmlformats.org/officeDocument/2006/relationships">
  <sheetPr codeName="Sheet5"/>
  <dimension ref="A1:I32"/>
  <sheetViews>
    <sheetView topLeftCell="A14" workbookViewId="0">
      <selection activeCell="N13" sqref="N13"/>
    </sheetView>
  </sheetViews>
  <sheetFormatPr defaultRowHeight="16.5"/>
  <cols>
    <col min="1" max="1" width="5" bestFit="1" customWidth="1"/>
    <col min="2" max="2" width="11.125" customWidth="1"/>
    <col min="3" max="3" width="49.875" bestFit="1" customWidth="1"/>
    <col min="4" max="4" width="8.375" hidden="1" customWidth="1"/>
    <col min="5" max="5" width="13.125" hidden="1" customWidth="1"/>
    <col min="6" max="6" width="12.125" hidden="1" customWidth="1"/>
    <col min="7" max="7" width="13.125" hidden="1" customWidth="1"/>
    <col min="8" max="8" width="12.125" hidden="1" customWidth="1"/>
    <col min="9" max="9" width="9" customWidth="1"/>
  </cols>
  <sheetData>
    <row r="1" spans="1:9" hidden="1">
      <c r="A1" s="24"/>
      <c r="B1" s="24"/>
      <c r="C1" s="24"/>
      <c r="D1" s="24"/>
      <c r="E1" s="77" t="s">
        <v>77</v>
      </c>
      <c r="F1" s="77"/>
      <c r="G1" s="77" t="s">
        <v>24</v>
      </c>
      <c r="H1" s="77"/>
      <c r="I1" s="24"/>
    </row>
    <row r="2" spans="1:9">
      <c r="A2" s="66" t="s">
        <v>59</v>
      </c>
      <c r="B2" s="66" t="s">
        <v>128</v>
      </c>
      <c r="C2" s="66" t="s">
        <v>98</v>
      </c>
      <c r="D2" s="66" t="s">
        <v>44</v>
      </c>
      <c r="E2" s="66" t="s">
        <v>99</v>
      </c>
      <c r="F2" s="66" t="s">
        <v>100</v>
      </c>
      <c r="G2" s="66" t="s">
        <v>99</v>
      </c>
      <c r="H2" s="66" t="s">
        <v>100</v>
      </c>
      <c r="I2" s="66" t="s">
        <v>91</v>
      </c>
    </row>
    <row r="3" spans="1:9">
      <c r="A3" s="24">
        <v>1</v>
      </c>
      <c r="B3" s="75" t="s">
        <v>129</v>
      </c>
      <c r="C3" s="75" t="s">
        <v>130</v>
      </c>
      <c r="D3" s="24" t="s">
        <v>46</v>
      </c>
      <c r="E3" s="24"/>
      <c r="F3" s="24"/>
      <c r="G3" s="24"/>
      <c r="H3" s="24"/>
      <c r="I3" s="24" t="s">
        <v>114</v>
      </c>
    </row>
    <row r="4" spans="1:9">
      <c r="A4" s="24">
        <v>2</v>
      </c>
      <c r="B4" s="75" t="s">
        <v>131</v>
      </c>
      <c r="C4" s="75" t="s">
        <v>132</v>
      </c>
      <c r="D4" s="24" t="s">
        <v>46</v>
      </c>
      <c r="E4" s="24"/>
      <c r="F4" s="24"/>
      <c r="G4" s="24"/>
      <c r="H4" s="24"/>
      <c r="I4" s="24" t="s">
        <v>188</v>
      </c>
    </row>
    <row r="5" spans="1:9">
      <c r="A5" s="24">
        <v>3</v>
      </c>
      <c r="B5" s="75" t="s">
        <v>133</v>
      </c>
      <c r="C5" s="75" t="s">
        <v>134</v>
      </c>
      <c r="D5" s="24" t="s">
        <v>46</v>
      </c>
      <c r="E5" s="24"/>
      <c r="F5" s="24"/>
      <c r="G5" s="24"/>
      <c r="H5" s="24"/>
      <c r="I5" s="24" t="s">
        <v>188</v>
      </c>
    </row>
    <row r="6" spans="1:9">
      <c r="A6" s="24">
        <v>4</v>
      </c>
      <c r="B6" s="75" t="s">
        <v>135</v>
      </c>
      <c r="C6" s="75" t="s">
        <v>136</v>
      </c>
      <c r="D6" s="24" t="s">
        <v>46</v>
      </c>
      <c r="E6" s="24"/>
      <c r="F6" s="24"/>
      <c r="G6" s="24"/>
      <c r="H6" s="24"/>
      <c r="I6" s="24" t="s">
        <v>188</v>
      </c>
    </row>
    <row r="7" spans="1:9">
      <c r="A7" s="24">
        <v>5</v>
      </c>
      <c r="B7" s="75" t="s">
        <v>137</v>
      </c>
      <c r="C7" s="75" t="s">
        <v>138</v>
      </c>
      <c r="D7" s="24" t="s">
        <v>46</v>
      </c>
      <c r="E7" s="24"/>
      <c r="F7" s="24"/>
      <c r="G7" s="24"/>
      <c r="H7" s="24"/>
      <c r="I7" s="24" t="s">
        <v>188</v>
      </c>
    </row>
    <row r="8" spans="1:9">
      <c r="A8" s="24">
        <v>6</v>
      </c>
      <c r="B8" s="75" t="s">
        <v>139</v>
      </c>
      <c r="C8" s="75" t="s">
        <v>140</v>
      </c>
      <c r="D8" s="24"/>
      <c r="E8" s="24"/>
      <c r="F8" s="24"/>
      <c r="G8" s="24"/>
      <c r="H8" s="24"/>
      <c r="I8" s="24" t="s">
        <v>188</v>
      </c>
    </row>
    <row r="9" spans="1:9">
      <c r="A9" s="24">
        <v>7</v>
      </c>
      <c r="B9" s="75" t="s">
        <v>141</v>
      </c>
      <c r="C9" s="75" t="s">
        <v>142</v>
      </c>
      <c r="D9" s="24"/>
      <c r="E9" s="24"/>
      <c r="F9" s="24"/>
      <c r="G9" s="24"/>
      <c r="H9" s="24"/>
      <c r="I9" s="24" t="s">
        <v>188</v>
      </c>
    </row>
    <row r="10" spans="1:9" ht="25.5">
      <c r="A10" s="24">
        <v>8</v>
      </c>
      <c r="B10" s="75" t="s">
        <v>143</v>
      </c>
      <c r="C10" s="75" t="s">
        <v>144</v>
      </c>
      <c r="D10" s="24"/>
      <c r="E10" s="24"/>
      <c r="F10" s="24"/>
      <c r="G10" s="24"/>
      <c r="H10" s="24"/>
      <c r="I10" s="24" t="s">
        <v>114</v>
      </c>
    </row>
    <row r="11" spans="1:9" ht="25.5">
      <c r="A11" s="24">
        <v>9</v>
      </c>
      <c r="B11" s="75" t="s">
        <v>145</v>
      </c>
      <c r="C11" s="75" t="s">
        <v>146</v>
      </c>
      <c r="D11" s="24"/>
      <c r="E11" s="24"/>
      <c r="F11" s="24"/>
      <c r="G11" s="24"/>
      <c r="H11" s="24"/>
      <c r="I11" s="24" t="s">
        <v>114</v>
      </c>
    </row>
    <row r="12" spans="1:9">
      <c r="A12" s="24">
        <v>10</v>
      </c>
      <c r="B12" s="75" t="s">
        <v>147</v>
      </c>
      <c r="C12" s="75" t="s">
        <v>148</v>
      </c>
      <c r="D12" s="24"/>
      <c r="E12" s="24"/>
      <c r="F12" s="24"/>
      <c r="G12" s="24"/>
      <c r="H12" s="24"/>
      <c r="I12" s="24" t="s">
        <v>188</v>
      </c>
    </row>
    <row r="13" spans="1:9">
      <c r="A13" s="24">
        <v>11</v>
      </c>
      <c r="B13" s="75" t="s">
        <v>149</v>
      </c>
      <c r="C13" s="75" t="s">
        <v>150</v>
      </c>
      <c r="D13" s="24"/>
      <c r="E13" s="24"/>
      <c r="F13" s="24"/>
      <c r="G13" s="24"/>
      <c r="H13" s="24"/>
      <c r="I13" s="24" t="s">
        <v>188</v>
      </c>
    </row>
    <row r="14" spans="1:9">
      <c r="A14" s="24">
        <v>12</v>
      </c>
      <c r="B14" s="75" t="s">
        <v>151</v>
      </c>
      <c r="C14" s="75" t="s">
        <v>152</v>
      </c>
      <c r="D14" s="24"/>
      <c r="E14" s="24"/>
      <c r="F14" s="24"/>
      <c r="G14" s="24"/>
      <c r="H14" s="24"/>
      <c r="I14" s="24" t="s">
        <v>188</v>
      </c>
    </row>
    <row r="15" spans="1:9">
      <c r="A15" s="24">
        <v>13</v>
      </c>
      <c r="B15" s="75" t="s">
        <v>153</v>
      </c>
      <c r="C15" s="75" t="s">
        <v>154</v>
      </c>
      <c r="D15" s="24"/>
      <c r="E15" s="24"/>
      <c r="F15" s="24"/>
      <c r="G15" s="24"/>
      <c r="H15" s="24"/>
      <c r="I15" s="24" t="s">
        <v>114</v>
      </c>
    </row>
    <row r="16" spans="1:9">
      <c r="A16" s="24">
        <v>14</v>
      </c>
      <c r="B16" s="75" t="s">
        <v>155</v>
      </c>
      <c r="C16" s="75" t="s">
        <v>156</v>
      </c>
      <c r="D16" s="24"/>
      <c r="E16" s="24"/>
      <c r="F16" s="24"/>
      <c r="G16" s="24"/>
      <c r="H16" s="24"/>
      <c r="I16" s="24" t="s">
        <v>114</v>
      </c>
    </row>
    <row r="17" spans="1:9">
      <c r="A17" s="24">
        <v>15</v>
      </c>
      <c r="B17" s="75" t="s">
        <v>157</v>
      </c>
      <c r="C17" s="75" t="s">
        <v>158</v>
      </c>
      <c r="D17" s="24"/>
      <c r="E17" s="24"/>
      <c r="F17" s="24"/>
      <c r="G17" s="24"/>
      <c r="H17" s="24"/>
      <c r="I17" s="24" t="s">
        <v>188</v>
      </c>
    </row>
    <row r="18" spans="1:9" ht="25.5">
      <c r="A18" s="24">
        <v>16</v>
      </c>
      <c r="B18" s="75" t="s">
        <v>159</v>
      </c>
      <c r="C18" s="75" t="s">
        <v>160</v>
      </c>
      <c r="D18" s="24"/>
      <c r="E18" s="24"/>
      <c r="F18" s="24"/>
      <c r="G18" s="24"/>
      <c r="H18" s="24"/>
      <c r="I18" s="24" t="s">
        <v>114</v>
      </c>
    </row>
    <row r="19" spans="1:9" ht="25.5">
      <c r="A19" s="24">
        <v>17</v>
      </c>
      <c r="B19" s="75" t="s">
        <v>159</v>
      </c>
      <c r="C19" s="75" t="s">
        <v>161</v>
      </c>
      <c r="D19" s="24"/>
      <c r="E19" s="24"/>
      <c r="F19" s="24"/>
      <c r="G19" s="24"/>
      <c r="H19" s="24"/>
      <c r="I19" s="24" t="s">
        <v>188</v>
      </c>
    </row>
    <row r="20" spans="1:9">
      <c r="A20" s="24">
        <v>18</v>
      </c>
      <c r="B20" s="75" t="s">
        <v>162</v>
      </c>
      <c r="C20" s="75" t="s">
        <v>163</v>
      </c>
      <c r="D20" s="24"/>
      <c r="E20" s="24"/>
      <c r="F20" s="24"/>
      <c r="G20" s="24"/>
      <c r="H20" s="24"/>
      <c r="I20" s="24" t="s">
        <v>114</v>
      </c>
    </row>
    <row r="21" spans="1:9">
      <c r="A21" s="24">
        <v>19</v>
      </c>
      <c r="B21" s="75" t="s">
        <v>164</v>
      </c>
      <c r="C21" s="75" t="s">
        <v>165</v>
      </c>
      <c r="D21" s="24"/>
      <c r="E21" s="24"/>
      <c r="F21" s="24"/>
      <c r="G21" s="24"/>
      <c r="H21" s="24"/>
      <c r="I21" s="24" t="s">
        <v>188</v>
      </c>
    </row>
    <row r="22" spans="1:9">
      <c r="A22" s="24">
        <v>20</v>
      </c>
      <c r="B22" s="75" t="s">
        <v>166</v>
      </c>
      <c r="C22" s="75" t="s">
        <v>167</v>
      </c>
      <c r="D22" s="24"/>
      <c r="E22" s="24"/>
      <c r="F22" s="24"/>
      <c r="G22" s="24"/>
      <c r="H22" s="24"/>
      <c r="I22" s="24" t="s">
        <v>188</v>
      </c>
    </row>
    <row r="23" spans="1:9">
      <c r="A23" s="24">
        <v>21</v>
      </c>
      <c r="B23" s="75" t="s">
        <v>168</v>
      </c>
      <c r="C23" s="75" t="s">
        <v>169</v>
      </c>
      <c r="D23" s="24"/>
      <c r="E23" s="24"/>
      <c r="F23" s="24"/>
      <c r="G23" s="24"/>
      <c r="H23" s="24"/>
      <c r="I23" s="24" t="s">
        <v>188</v>
      </c>
    </row>
    <row r="24" spans="1:9">
      <c r="A24" s="24">
        <v>22</v>
      </c>
      <c r="B24" s="76" t="s">
        <v>170</v>
      </c>
      <c r="C24" s="75" t="s">
        <v>171</v>
      </c>
      <c r="D24" s="24" t="s">
        <v>45</v>
      </c>
      <c r="E24" s="24"/>
      <c r="F24" s="24"/>
      <c r="G24" s="24"/>
      <c r="H24" s="24"/>
      <c r="I24" s="24" t="s">
        <v>114</v>
      </c>
    </row>
    <row r="25" spans="1:9">
      <c r="A25" s="24">
        <v>23</v>
      </c>
      <c r="B25" s="76" t="s">
        <v>172</v>
      </c>
      <c r="C25" s="75" t="s">
        <v>173</v>
      </c>
      <c r="D25" s="24" t="s">
        <v>45</v>
      </c>
      <c r="E25" s="24"/>
      <c r="F25" s="24"/>
      <c r="G25" s="24"/>
      <c r="H25" s="24"/>
      <c r="I25" s="24" t="s">
        <v>114</v>
      </c>
    </row>
    <row r="26" spans="1:9">
      <c r="A26" s="24">
        <v>24</v>
      </c>
      <c r="B26" s="76" t="s">
        <v>174</v>
      </c>
      <c r="C26" s="75" t="s">
        <v>175</v>
      </c>
      <c r="D26" s="24" t="s">
        <v>45</v>
      </c>
      <c r="E26" s="24"/>
      <c r="F26" s="24"/>
      <c r="G26" s="24"/>
      <c r="H26" s="24"/>
      <c r="I26" s="24" t="s">
        <v>114</v>
      </c>
    </row>
    <row r="27" spans="1:9">
      <c r="A27" s="24">
        <v>25</v>
      </c>
      <c r="B27" s="76" t="s">
        <v>176</v>
      </c>
      <c r="C27" s="75" t="s">
        <v>177</v>
      </c>
      <c r="D27" s="24" t="s">
        <v>45</v>
      </c>
      <c r="E27" s="24"/>
      <c r="F27" s="24"/>
      <c r="G27" s="24"/>
      <c r="H27" s="24"/>
      <c r="I27" s="24" t="s">
        <v>114</v>
      </c>
    </row>
    <row r="28" spans="1:9">
      <c r="A28" s="24">
        <v>26</v>
      </c>
      <c r="B28" s="76" t="s">
        <v>178</v>
      </c>
      <c r="C28" s="75" t="s">
        <v>179</v>
      </c>
      <c r="D28" s="24" t="s">
        <v>45</v>
      </c>
      <c r="E28" s="24"/>
      <c r="F28" s="24"/>
      <c r="G28" s="24"/>
      <c r="H28" s="24"/>
      <c r="I28" s="24" t="s">
        <v>114</v>
      </c>
    </row>
    <row r="29" spans="1:9">
      <c r="A29" s="24">
        <v>27</v>
      </c>
      <c r="B29" s="75" t="s">
        <v>180</v>
      </c>
      <c r="C29" s="75" t="s">
        <v>181</v>
      </c>
      <c r="D29" s="24" t="s">
        <v>46</v>
      </c>
      <c r="E29" s="24"/>
      <c r="F29" s="24"/>
      <c r="G29" s="24"/>
      <c r="H29" s="24"/>
      <c r="I29" s="24" t="s">
        <v>114</v>
      </c>
    </row>
    <row r="30" spans="1:9">
      <c r="A30" s="24">
        <v>28</v>
      </c>
      <c r="B30" s="75" t="s">
        <v>182</v>
      </c>
      <c r="C30" s="75" t="s">
        <v>183</v>
      </c>
      <c r="D30" s="24" t="s">
        <v>46</v>
      </c>
      <c r="E30" s="24"/>
      <c r="F30" s="24"/>
      <c r="G30" s="24"/>
      <c r="H30" s="24"/>
      <c r="I30" s="24" t="s">
        <v>114</v>
      </c>
    </row>
    <row r="31" spans="1:9">
      <c r="A31" s="24">
        <v>29</v>
      </c>
      <c r="B31" s="75" t="s">
        <v>184</v>
      </c>
      <c r="C31" s="75" t="s">
        <v>185</v>
      </c>
      <c r="D31" s="24" t="s">
        <v>46</v>
      </c>
      <c r="E31" s="24"/>
      <c r="F31" s="24"/>
      <c r="G31" s="24"/>
      <c r="H31" s="24"/>
      <c r="I31" s="24" t="s">
        <v>114</v>
      </c>
    </row>
    <row r="32" spans="1:9">
      <c r="A32" s="24">
        <v>30</v>
      </c>
      <c r="B32" s="75" t="s">
        <v>186</v>
      </c>
      <c r="C32" s="75" t="s">
        <v>187</v>
      </c>
      <c r="D32" s="24" t="s">
        <v>46</v>
      </c>
      <c r="E32" s="24"/>
      <c r="F32" s="24"/>
      <c r="G32" s="24"/>
      <c r="H32" s="24"/>
      <c r="I32" s="24" t="s">
        <v>114</v>
      </c>
    </row>
  </sheetData>
  <mergeCells count="2">
    <mergeCell ref="E1:F1"/>
    <mergeCell ref="G1:H1"/>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6"/>
  <dimension ref="A1:I5"/>
  <sheetViews>
    <sheetView workbookViewId="0"/>
  </sheetViews>
  <sheetFormatPr defaultRowHeight="16.5"/>
  <cols>
    <col min="1" max="1" width="5" bestFit="1" customWidth="1"/>
    <col min="2" max="2" width="11.875" customWidth="1"/>
    <col min="3" max="3" width="8.75" bestFit="1" customWidth="1"/>
    <col min="4" max="4" width="12.75" customWidth="1"/>
    <col min="5" max="5" width="10" bestFit="1" customWidth="1"/>
    <col min="6" max="6" width="8.125" customWidth="1"/>
    <col min="7" max="7" width="9.125" customWidth="1"/>
    <col min="8" max="8" width="6.375" bestFit="1" customWidth="1"/>
    <col min="9" max="9" width="10.625" customWidth="1"/>
  </cols>
  <sheetData>
    <row r="1" spans="1:9" ht="33">
      <c r="A1" s="70" t="s">
        <v>59</v>
      </c>
      <c r="B1" s="71" t="s">
        <v>65</v>
      </c>
      <c r="C1" s="71" t="s">
        <v>60</v>
      </c>
      <c r="D1" s="71" t="s">
        <v>61</v>
      </c>
      <c r="E1" s="71" t="s">
        <v>62</v>
      </c>
      <c r="F1" s="71" t="s">
        <v>64</v>
      </c>
      <c r="G1" s="71" t="s">
        <v>63</v>
      </c>
      <c r="H1" s="71" t="s">
        <v>39</v>
      </c>
      <c r="I1" s="71" t="s">
        <v>101</v>
      </c>
    </row>
    <row r="2" spans="1:9">
      <c r="A2" s="65">
        <v>1</v>
      </c>
      <c r="B2" s="65" t="s">
        <v>114</v>
      </c>
      <c r="C2" s="63">
        <f ca="1">IF(LEN(TRIM($B2))&lt;&gt;0, INDIRECT($B2&amp;"!$C$12"),"")</f>
        <v>10</v>
      </c>
      <c r="D2" s="64">
        <f ca="1">IF(LEN(TRIM($B2))&lt;&gt;0, INDIRECT($B2&amp;"!$C$13"),"")</f>
        <v>41785</v>
      </c>
      <c r="E2" s="64">
        <f ca="1">IF(LEN(TRIM($B2))&lt;&gt;0, INDIRECT($B2&amp;"!$C$14"),"")</f>
        <v>41796</v>
      </c>
      <c r="F2" s="63">
        <f ca="1">IF(LEN(TRIM($B2))&lt;&gt;0, INDIRECT($B2&amp;"!$C$15"),"")</f>
        <v>60</v>
      </c>
      <c r="G2" s="63">
        <f ca="1">IF(LEN(TRIM($B2))&lt;&gt;0, INDIRECT($B2&amp;"!$C$16"),"")</f>
        <v>51</v>
      </c>
      <c r="H2" s="65"/>
      <c r="I2" s="24"/>
    </row>
    <row r="3" spans="1:9">
      <c r="A3" s="65">
        <v>2</v>
      </c>
      <c r="B3" s="65"/>
      <c r="C3" s="63" t="str">
        <f ca="1">IF(LEN(TRIM($B3))&lt;&gt;0, INDIRECT($B3&amp;"!$C$12"),"")</f>
        <v/>
      </c>
      <c r="D3" s="64" t="str">
        <f ca="1">IF(LEN(TRIM($B3))&lt;&gt;0, INDIRECT($B3&amp;"!$C$13"),"")</f>
        <v/>
      </c>
      <c r="E3" s="64" t="str">
        <f ca="1">IF(LEN(TRIM($B3))&lt;&gt;0, INDIRECT($B3&amp;"!$C$14"),"")</f>
        <v/>
      </c>
      <c r="F3" s="63" t="str">
        <f ca="1">IF(LEN(TRIM($B3))&lt;&gt;0, INDIRECT($B3&amp;"!$C$15"),"")</f>
        <v/>
      </c>
      <c r="G3" s="63" t="str">
        <f ca="1">IF(LEN(TRIM($B3))&lt;&gt;0, INDIRECT($B3&amp;"!$C$16"),"")</f>
        <v/>
      </c>
      <c r="H3" s="65"/>
      <c r="I3" s="24"/>
    </row>
    <row r="4" spans="1:9">
      <c r="A4" s="65">
        <v>4</v>
      </c>
      <c r="B4" s="65"/>
      <c r="C4" s="63" t="str">
        <f t="shared" ref="C4:C5" ca="1" si="0">IF(LEN(TRIM($B4))&lt;&gt;0, INDIRECT($B4&amp;"!$C$12"),"")</f>
        <v/>
      </c>
      <c r="D4" s="64" t="str">
        <f t="shared" ref="D4:D5" ca="1" si="1">IF(LEN(TRIM($B4))&lt;&gt;0, INDIRECT($B4&amp;"!$C$13"),"")</f>
        <v/>
      </c>
      <c r="E4" s="64" t="str">
        <f t="shared" ref="E4:E5" ca="1" si="2">IF(LEN(TRIM($B4))&lt;&gt;0, INDIRECT($B4&amp;"!$C$14"),"")</f>
        <v/>
      </c>
      <c r="F4" s="63" t="str">
        <f t="shared" ref="F4:F5" ca="1" si="3">IF(LEN(TRIM($B4))&lt;&gt;0, INDIRECT($B4&amp;"!$C$15"),"")</f>
        <v/>
      </c>
      <c r="G4" s="63" t="str">
        <f t="shared" ref="G4:G5" ca="1" si="4">IF(LEN(TRIM($B4))&lt;&gt;0, INDIRECT($B4&amp;"!$C$16"),"")</f>
        <v/>
      </c>
      <c r="H4" s="65"/>
      <c r="I4" s="24"/>
    </row>
    <row r="5" spans="1:9">
      <c r="A5" s="65"/>
      <c r="B5" s="65"/>
      <c r="C5" s="63" t="str">
        <f t="shared" ca="1" si="0"/>
        <v/>
      </c>
      <c r="D5" s="64" t="str">
        <f t="shared" ca="1" si="1"/>
        <v/>
      </c>
      <c r="E5" s="64" t="str">
        <f t="shared" ca="1" si="2"/>
        <v/>
      </c>
      <c r="F5" s="63" t="str">
        <f t="shared" ca="1" si="3"/>
        <v/>
      </c>
      <c r="G5" s="63" t="str">
        <f t="shared" ca="1" si="4"/>
        <v/>
      </c>
      <c r="H5" s="65"/>
      <c r="I5" s="24"/>
    </row>
  </sheetData>
  <phoneticPr fontId="15" type="noConversion"/>
  <dataValidations count="1">
    <dataValidation type="list" allowBlank="1" showInputMessage="1" showErrorMessage="1" sqref="H2:H5">
      <formula1>Status</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1"/>
  <dimension ref="A1:BA100"/>
  <sheetViews>
    <sheetView tabSelected="1" topLeftCell="B1" workbookViewId="0">
      <selection activeCell="G45" sqref="G45"/>
    </sheetView>
  </sheetViews>
  <sheetFormatPr defaultColWidth="9.125" defaultRowHeight="12.75"/>
  <cols>
    <col min="1" max="1" width="3.75" style="1" customWidth="1"/>
    <col min="2" max="2" width="10.125" style="2" bestFit="1" customWidth="1"/>
    <col min="3" max="3" width="10.875" style="2" customWidth="1"/>
    <col min="4" max="4" width="44.25" style="2" customWidth="1"/>
    <col min="5" max="5" width="9.375" style="2" customWidth="1"/>
    <col min="6" max="6" width="8.75" style="2" customWidth="1"/>
    <col min="7" max="7" width="13.875" style="3" customWidth="1"/>
    <col min="8" max="8" width="9.125" style="3" customWidth="1"/>
    <col min="9" max="9" width="5.375" style="3" customWidth="1"/>
    <col min="10" max="10" width="5.125" style="3" customWidth="1"/>
    <col min="11" max="11" width="10.125" style="3" customWidth="1"/>
    <col min="12" max="15" width="3.125" style="3" bestFit="1" customWidth="1"/>
    <col min="16" max="16" width="8.375" style="3" bestFit="1" customWidth="1"/>
    <col min="17" max="17" width="3.125" style="3" bestFit="1" customWidth="1"/>
    <col min="18" max="18" width="3.125" style="2" bestFit="1" customWidth="1"/>
    <col min="19" max="19" width="3.875" style="2" customWidth="1"/>
    <col min="20" max="20" width="14.25" style="1" bestFit="1" customWidth="1"/>
    <col min="21" max="21" width="3.625" style="1" bestFit="1" customWidth="1"/>
    <col min="22" max="22" width="5.75" style="1" bestFit="1" customWidth="1"/>
    <col min="23" max="23" width="3.625" style="1" customWidth="1"/>
    <col min="24" max="53" width="3" style="1" customWidth="1"/>
    <col min="54" max="16384" width="9.125" style="1"/>
  </cols>
  <sheetData>
    <row r="1" spans="1:53">
      <c r="A1" s="7"/>
      <c r="B1" s="8"/>
      <c r="C1" s="8"/>
      <c r="D1" s="8"/>
      <c r="E1" s="8"/>
      <c r="F1" s="8"/>
      <c r="G1" s="9"/>
      <c r="H1" s="9"/>
      <c r="I1" s="9"/>
      <c r="J1" s="9"/>
      <c r="K1" s="9"/>
      <c r="L1" s="9"/>
      <c r="M1" s="9"/>
      <c r="N1" s="9"/>
      <c r="O1" s="9"/>
      <c r="P1" s="9"/>
      <c r="Q1" s="9"/>
      <c r="R1" s="8"/>
      <c r="S1" s="8"/>
      <c r="T1" s="7"/>
      <c r="U1" s="7"/>
      <c r="V1" s="7"/>
      <c r="W1" s="7"/>
      <c r="X1" s="7"/>
      <c r="Y1" s="7"/>
      <c r="Z1" s="7"/>
      <c r="AA1" s="7"/>
      <c r="AB1" s="7"/>
      <c r="AC1" s="7"/>
      <c r="AD1" s="7"/>
      <c r="AE1" s="7"/>
      <c r="AF1" s="7"/>
      <c r="AG1" s="7"/>
      <c r="AH1" s="7"/>
      <c r="AI1" s="7"/>
      <c r="AJ1" s="7"/>
      <c r="AK1" s="7"/>
      <c r="AL1" s="7"/>
      <c r="AM1" s="7"/>
      <c r="AN1" s="7"/>
      <c r="AO1" s="7"/>
      <c r="AP1" s="7"/>
    </row>
    <row r="2" spans="1:53" ht="15.75">
      <c r="A2" s="7"/>
      <c r="B2" s="50" t="s">
        <v>58</v>
      </c>
      <c r="C2" s="8"/>
      <c r="D2" s="8"/>
      <c r="E2" s="30" t="str">
        <f ca="1">MID(CELL("Filename",A1),FIND("]",CELL("Filename",A1))+1,255)</f>
        <v>Sp1</v>
      </c>
      <c r="F2" s="8"/>
      <c r="G2" s="9"/>
      <c r="H2" s="9"/>
      <c r="I2" s="9"/>
      <c r="J2" s="9"/>
      <c r="K2" s="9"/>
      <c r="L2" s="9"/>
      <c r="M2" s="9"/>
      <c r="N2" s="9"/>
      <c r="O2" s="9"/>
      <c r="P2" s="9"/>
      <c r="Q2" s="9"/>
      <c r="R2" s="8"/>
      <c r="S2" s="8"/>
      <c r="T2" s="29" t="s">
        <v>0</v>
      </c>
      <c r="U2" s="7"/>
      <c r="V2" s="7"/>
      <c r="W2" s="7"/>
      <c r="X2" s="7"/>
      <c r="Y2" s="7"/>
      <c r="Z2" s="7"/>
      <c r="AA2" s="7"/>
      <c r="AB2" s="7"/>
      <c r="AC2" s="7"/>
      <c r="AD2" s="7"/>
      <c r="AE2" s="7"/>
      <c r="AF2" s="7"/>
      <c r="AG2" s="7"/>
      <c r="AH2" s="7"/>
      <c r="AI2" s="7"/>
      <c r="AJ2" s="7"/>
      <c r="AK2" s="7"/>
      <c r="AL2" s="7"/>
      <c r="AM2" s="7"/>
      <c r="AN2" s="7"/>
      <c r="AO2" s="7"/>
      <c r="AP2" s="7"/>
    </row>
    <row r="3" spans="1:53">
      <c r="A3" s="7"/>
      <c r="B3" s="8"/>
      <c r="C3" s="8"/>
      <c r="D3" s="8"/>
      <c r="E3" s="8"/>
      <c r="F3" s="8"/>
      <c r="G3" s="9"/>
      <c r="H3" s="9"/>
      <c r="I3" s="9"/>
      <c r="J3" s="9"/>
      <c r="K3" s="9"/>
      <c r="L3" s="9"/>
      <c r="M3" s="9"/>
      <c r="N3" s="9"/>
      <c r="O3" s="9"/>
      <c r="P3" s="9"/>
      <c r="Q3" s="9"/>
      <c r="R3" s="8"/>
      <c r="S3" s="8"/>
      <c r="T3" s="16" t="s">
        <v>36</v>
      </c>
      <c r="U3" s="39">
        <f>COUNTIF(P40:P56,T3)</f>
        <v>0</v>
      </c>
      <c r="V3" s="7"/>
      <c r="W3" s="7"/>
      <c r="X3" s="7"/>
      <c r="Y3" s="7"/>
      <c r="Z3" s="7"/>
      <c r="AA3" s="7"/>
      <c r="AB3" s="7"/>
      <c r="AC3" s="7"/>
      <c r="AD3" s="7"/>
      <c r="AE3" s="7"/>
      <c r="AF3" s="7"/>
      <c r="AG3" s="7"/>
      <c r="AH3" s="7"/>
      <c r="AI3" s="7"/>
      <c r="AJ3" s="7"/>
      <c r="AK3" s="7"/>
      <c r="AL3" s="7"/>
      <c r="AM3" s="7"/>
      <c r="AN3" s="7"/>
      <c r="AO3" s="7"/>
      <c r="AP3" s="7"/>
    </row>
    <row r="4" spans="1:53">
      <c r="A4" s="7"/>
      <c r="B4" s="8"/>
      <c r="C4" s="8"/>
      <c r="D4" s="8"/>
      <c r="E4" s="8"/>
      <c r="F4" s="8"/>
      <c r="G4" s="9"/>
      <c r="H4" s="9"/>
      <c r="I4" s="9"/>
      <c r="J4" s="9"/>
      <c r="K4" s="9"/>
      <c r="L4" s="9"/>
      <c r="M4" s="9"/>
      <c r="N4" s="9"/>
      <c r="O4" s="9"/>
      <c r="P4" s="9"/>
      <c r="Q4" s="9"/>
      <c r="R4" s="8"/>
      <c r="S4" s="8"/>
      <c r="T4" s="16" t="s">
        <v>35</v>
      </c>
      <c r="U4" s="39">
        <f>COUNTIF(P40:P61,T4)</f>
        <v>0</v>
      </c>
      <c r="V4" s="7"/>
      <c r="W4" s="7"/>
      <c r="X4" s="7"/>
      <c r="Y4" s="7"/>
      <c r="Z4" s="7"/>
      <c r="AA4" s="7"/>
      <c r="AB4" s="7"/>
      <c r="AC4" s="7"/>
      <c r="AD4" s="7"/>
      <c r="AE4" s="7"/>
      <c r="AF4" s="7"/>
      <c r="AG4" s="7"/>
      <c r="AH4" s="7"/>
      <c r="AI4" s="7"/>
      <c r="AJ4" s="7"/>
      <c r="AK4" s="7"/>
      <c r="AL4" s="7"/>
      <c r="AM4" s="7"/>
      <c r="AN4" s="7"/>
      <c r="AO4" s="7"/>
      <c r="AP4" s="7"/>
    </row>
    <row r="5" spans="1:53">
      <c r="A5" s="7"/>
      <c r="B5" s="8"/>
      <c r="C5" s="8"/>
      <c r="D5" s="8"/>
      <c r="E5" s="8"/>
      <c r="F5" s="8"/>
      <c r="G5" s="9"/>
      <c r="H5" s="9"/>
      <c r="I5" s="9"/>
      <c r="J5" s="9"/>
      <c r="K5" s="9"/>
      <c r="L5" s="9"/>
      <c r="M5" s="9"/>
      <c r="N5" s="9"/>
      <c r="O5" s="9"/>
      <c r="P5" s="9"/>
      <c r="Q5" s="9"/>
      <c r="R5" s="8"/>
      <c r="S5" s="8"/>
      <c r="T5" s="16" t="s">
        <v>34</v>
      </c>
      <c r="U5" s="39">
        <f>COUNTIF(P40:P62,T5)</f>
        <v>0</v>
      </c>
      <c r="V5" s="7"/>
      <c r="W5" s="7"/>
      <c r="X5" s="7"/>
      <c r="Y5" s="7"/>
      <c r="Z5" s="7"/>
      <c r="AA5" s="7"/>
      <c r="AB5" s="7"/>
      <c r="AC5" s="7"/>
      <c r="AD5" s="7"/>
      <c r="AE5" s="7"/>
      <c r="AF5" s="7"/>
      <c r="AG5" s="7"/>
      <c r="AH5" s="7"/>
      <c r="AI5" s="7"/>
      <c r="AJ5" s="7"/>
      <c r="AK5" s="7"/>
      <c r="AL5" s="7"/>
      <c r="AM5" s="7"/>
      <c r="AN5" s="7"/>
      <c r="AO5" s="7"/>
      <c r="AP5" s="7"/>
    </row>
    <row r="6" spans="1:53">
      <c r="A6" s="7"/>
      <c r="B6" s="8"/>
      <c r="C6" s="8"/>
      <c r="D6" s="8"/>
      <c r="E6" s="8"/>
      <c r="F6" s="8"/>
      <c r="G6" s="9"/>
      <c r="H6" s="9"/>
      <c r="I6" s="9"/>
      <c r="J6" s="9"/>
      <c r="K6" s="9"/>
      <c r="L6" s="9"/>
      <c r="M6" s="9"/>
      <c r="N6" s="9"/>
      <c r="O6" s="9"/>
      <c r="P6" s="9"/>
      <c r="Q6" s="9"/>
      <c r="R6" s="8"/>
      <c r="S6" s="8"/>
      <c r="T6" s="16" t="s">
        <v>33</v>
      </c>
      <c r="U6" s="39">
        <f>COUNTIF(P40:P63,T6)</f>
        <v>0</v>
      </c>
      <c r="V6" s="7"/>
      <c r="W6" s="7"/>
      <c r="X6" s="7"/>
      <c r="Y6" s="7"/>
      <c r="Z6" s="7"/>
      <c r="AA6" s="7"/>
      <c r="AB6" s="7"/>
      <c r="AC6" s="7"/>
      <c r="AD6" s="7"/>
      <c r="AE6" s="7"/>
      <c r="AF6" s="7"/>
      <c r="AG6" s="7"/>
      <c r="AH6" s="7"/>
      <c r="AI6" s="7"/>
      <c r="AJ6" s="7"/>
      <c r="AK6" s="7"/>
      <c r="AL6" s="7"/>
      <c r="AM6" s="7"/>
      <c r="AN6" s="7"/>
      <c r="AO6" s="7"/>
      <c r="AP6" s="7"/>
    </row>
    <row r="7" spans="1:53">
      <c r="A7" s="7"/>
      <c r="B7" s="8"/>
      <c r="C7" s="8"/>
      <c r="D7" s="8"/>
      <c r="E7" s="8"/>
      <c r="F7" s="8"/>
      <c r="G7" s="9"/>
      <c r="H7" s="9"/>
      <c r="I7" s="9"/>
      <c r="J7" s="9"/>
      <c r="K7" s="9"/>
      <c r="L7" s="9"/>
      <c r="M7" s="9"/>
      <c r="N7" s="9"/>
      <c r="O7" s="9"/>
      <c r="P7" s="9"/>
      <c r="Q7" s="9"/>
      <c r="R7" s="8"/>
      <c r="S7" s="8"/>
      <c r="T7" s="16"/>
      <c r="U7" s="39">
        <f>COUNTIF(P40:P64,T7)</f>
        <v>0</v>
      </c>
      <c r="V7" s="7"/>
      <c r="W7" s="7"/>
      <c r="X7" s="7"/>
      <c r="Y7" s="7"/>
      <c r="Z7" s="7"/>
      <c r="AA7" s="7"/>
      <c r="AB7" s="7"/>
      <c r="AC7" s="7"/>
      <c r="AD7" s="7"/>
      <c r="AE7" s="7"/>
      <c r="AF7" s="7"/>
      <c r="AG7" s="7"/>
      <c r="AH7" s="7"/>
      <c r="AI7" s="7"/>
      <c r="AJ7" s="7"/>
      <c r="AK7" s="7"/>
      <c r="AL7" s="7"/>
      <c r="AM7" s="7"/>
      <c r="AN7" s="7"/>
      <c r="AO7" s="7"/>
      <c r="AP7" s="7"/>
    </row>
    <row r="8" spans="1:53">
      <c r="A8" s="7"/>
      <c r="B8" s="8"/>
      <c r="C8" s="8"/>
      <c r="D8" s="8"/>
      <c r="E8" s="8"/>
      <c r="F8" s="8"/>
      <c r="G8" s="9"/>
      <c r="H8" s="9"/>
      <c r="I8" s="9"/>
      <c r="J8" s="9"/>
      <c r="K8" s="9"/>
      <c r="L8" s="9"/>
      <c r="M8" s="9"/>
      <c r="N8" s="9"/>
      <c r="O8" s="9"/>
      <c r="P8" s="9"/>
      <c r="Q8" s="9"/>
      <c r="R8" s="8"/>
      <c r="S8" s="8"/>
      <c r="T8" s="16" t="s">
        <v>32</v>
      </c>
      <c r="U8" s="39">
        <f>SUM(U3:U7)</f>
        <v>0</v>
      </c>
      <c r="V8" s="7"/>
      <c r="W8" s="7"/>
      <c r="X8" s="7"/>
      <c r="Y8" s="7"/>
      <c r="Z8" s="7"/>
      <c r="AA8" s="7"/>
      <c r="AB8" s="7"/>
      <c r="AC8" s="7"/>
      <c r="AD8" s="7"/>
      <c r="AE8" s="7"/>
      <c r="AF8" s="7"/>
      <c r="AG8" s="7"/>
      <c r="AH8" s="7"/>
      <c r="AI8" s="7"/>
      <c r="AJ8" s="7"/>
      <c r="AK8" s="7"/>
      <c r="AL8" s="7"/>
      <c r="AM8" s="7"/>
      <c r="AN8" s="7"/>
      <c r="AO8" s="7"/>
      <c r="AP8" s="7"/>
    </row>
    <row r="9" spans="1:53" ht="15.75" thickBot="1">
      <c r="A9" s="7"/>
      <c r="B9" s="8"/>
      <c r="C9" s="8"/>
      <c r="D9" s="8"/>
      <c r="E9" s="8"/>
      <c r="F9" s="8"/>
      <c r="G9" s="9"/>
      <c r="H9" s="9"/>
      <c r="I9" s="9"/>
      <c r="J9" s="9"/>
      <c r="K9" s="9"/>
      <c r="L9" s="9"/>
      <c r="M9" s="9"/>
      <c r="N9" s="9"/>
      <c r="O9" s="9"/>
      <c r="P9" s="9"/>
      <c r="Q9" s="9"/>
      <c r="R9" s="8"/>
      <c r="S9" s="8"/>
      <c r="T9" s="29" t="s">
        <v>31</v>
      </c>
      <c r="U9" s="7"/>
      <c r="V9" s="7"/>
      <c r="W9" s="7"/>
      <c r="X9" s="7"/>
      <c r="Y9" s="7"/>
      <c r="Z9" s="7"/>
      <c r="AA9" s="7"/>
      <c r="AB9" s="7"/>
      <c r="AC9" s="7"/>
      <c r="AD9" s="7"/>
      <c r="AE9" s="7"/>
      <c r="AF9" s="7"/>
      <c r="AG9" s="7"/>
      <c r="AH9" s="7"/>
      <c r="AI9" s="7"/>
      <c r="AJ9" s="7"/>
      <c r="AK9" s="7"/>
      <c r="AL9" s="7"/>
      <c r="AM9" s="7"/>
      <c r="AN9" s="7"/>
      <c r="AO9" s="7"/>
      <c r="AP9" s="7"/>
    </row>
    <row r="10" spans="1:53">
      <c r="A10" s="7"/>
      <c r="B10" s="20" t="s">
        <v>53</v>
      </c>
      <c r="C10" s="19"/>
      <c r="D10" s="8"/>
      <c r="E10" s="8"/>
      <c r="F10" s="8"/>
      <c r="G10" s="9"/>
      <c r="H10" s="9"/>
      <c r="I10" s="9"/>
      <c r="J10" s="9"/>
      <c r="K10" s="9"/>
      <c r="L10" s="9"/>
      <c r="M10" s="9"/>
      <c r="N10" s="9"/>
      <c r="O10" s="9"/>
      <c r="P10" s="9"/>
      <c r="Q10" s="9"/>
      <c r="R10" s="8"/>
      <c r="S10" s="8"/>
      <c r="T10" s="35" t="s">
        <v>30</v>
      </c>
      <c r="U10" s="40" t="s">
        <v>48</v>
      </c>
      <c r="V10" s="41" t="s">
        <v>49</v>
      </c>
      <c r="W10" s="38">
        <f>DAY(L39)</f>
        <v>26</v>
      </c>
      <c r="X10" s="31">
        <f t="shared" ref="X10:AD10" si="0">IF(LEN(TRIM(M39)) &lt;&gt; 0, DAY(M39),"")</f>
        <v>27</v>
      </c>
      <c r="Y10" s="31">
        <f t="shared" si="0"/>
        <v>28</v>
      </c>
      <c r="Z10" s="31">
        <f t="shared" si="0"/>
        <v>29</v>
      </c>
      <c r="AA10" s="31">
        <f t="shared" si="0"/>
        <v>30</v>
      </c>
      <c r="AB10" s="31">
        <f t="shared" si="0"/>
        <v>31</v>
      </c>
      <c r="AC10" s="31">
        <f t="shared" si="0"/>
        <v>1</v>
      </c>
      <c r="AD10" s="31">
        <f t="shared" si="0"/>
        <v>2</v>
      </c>
      <c r="AE10" s="31">
        <f t="shared" ref="AE10:BA10" si="1">IF(LEN(TRIM(T39)) &lt;&gt; 0, DAY(T39),"")</f>
        <v>3</v>
      </c>
      <c r="AF10" s="31">
        <f t="shared" si="1"/>
        <v>4</v>
      </c>
      <c r="AG10" s="31">
        <f t="shared" si="1"/>
        <v>5</v>
      </c>
      <c r="AH10" s="31">
        <f t="shared" si="1"/>
        <v>6</v>
      </c>
      <c r="AI10" s="31" t="str">
        <f t="shared" si="1"/>
        <v/>
      </c>
      <c r="AJ10" s="31" t="str">
        <f t="shared" si="1"/>
        <v/>
      </c>
      <c r="AK10" s="31" t="str">
        <f t="shared" si="1"/>
        <v/>
      </c>
      <c r="AL10" s="31" t="str">
        <f t="shared" si="1"/>
        <v/>
      </c>
      <c r="AM10" s="31" t="str">
        <f t="shared" si="1"/>
        <v/>
      </c>
      <c r="AN10" s="31" t="str">
        <f t="shared" si="1"/>
        <v/>
      </c>
      <c r="AO10" s="31" t="str">
        <f t="shared" si="1"/>
        <v/>
      </c>
      <c r="AP10" s="31" t="str">
        <f t="shared" si="1"/>
        <v/>
      </c>
      <c r="AQ10" s="31" t="str">
        <f t="shared" si="1"/>
        <v/>
      </c>
      <c r="AR10" s="31" t="str">
        <f t="shared" si="1"/>
        <v/>
      </c>
      <c r="AS10" s="31" t="str">
        <f t="shared" si="1"/>
        <v/>
      </c>
      <c r="AT10" s="31" t="str">
        <f t="shared" si="1"/>
        <v/>
      </c>
      <c r="AU10" s="31" t="str">
        <f t="shared" si="1"/>
        <v/>
      </c>
      <c r="AV10" s="31" t="str">
        <f t="shared" si="1"/>
        <v/>
      </c>
      <c r="AW10" s="31" t="str">
        <f t="shared" si="1"/>
        <v/>
      </c>
      <c r="AX10" s="31" t="str">
        <f t="shared" si="1"/>
        <v/>
      </c>
      <c r="AY10" s="31" t="str">
        <f t="shared" si="1"/>
        <v/>
      </c>
      <c r="AZ10" s="31" t="str">
        <f>IF(LEN(TRIM(AO39)) &lt;&gt; 0, DAY(AO39),"")</f>
        <v/>
      </c>
      <c r="BA10" s="31" t="str">
        <f t="shared" si="1"/>
        <v/>
      </c>
    </row>
    <row r="11" spans="1:53">
      <c r="A11" s="7"/>
      <c r="B11" s="18" t="s">
        <v>55</v>
      </c>
      <c r="C11" s="42" t="str">
        <f ca="1">MID(CELL("Filename",A1),FIND("]",CELL("Filename",A1))+1,255)</f>
        <v>Sp1</v>
      </c>
      <c r="D11" s="8"/>
      <c r="E11" s="8"/>
      <c r="F11" s="8"/>
      <c r="G11" s="9"/>
      <c r="H11" s="9"/>
      <c r="I11" s="9"/>
      <c r="J11" s="9"/>
      <c r="K11" s="9"/>
      <c r="L11" s="9"/>
      <c r="M11" s="9"/>
      <c r="N11" s="9"/>
      <c r="O11" s="9"/>
      <c r="P11" s="9"/>
      <c r="Q11" s="9"/>
      <c r="R11" s="8"/>
      <c r="S11" s="8"/>
      <c r="T11" s="36" t="str">
        <f>Data!B2</f>
        <v>SungeunKim</v>
      </c>
      <c r="U11" s="54">
        <f ca="1">SUMIF($G$40:$I$232,$T11,$I$40:$I$232)</f>
        <v>20</v>
      </c>
      <c r="V11" s="55">
        <f ca="1">SUMIF($G$40:$J$232,$T11,$J$40:$J$232)</f>
        <v>17</v>
      </c>
      <c r="W11" s="56">
        <f ca="1">IF(LEN(TRIM(W$10))&lt;&gt;0, SUMIF($G$40:$AP$232,$T11,$L$40:$L$232),"")</f>
        <v>5</v>
      </c>
      <c r="X11" s="57">
        <f ca="1">IF(LEN(TRIM(X$10))&lt;&gt;0, SUMIF($G$40:$AP$232,$T11,$M$40:$M$232),"")</f>
        <v>5</v>
      </c>
      <c r="Y11" s="57">
        <f ca="1">IF(LEN(TRIM(Y$10))&lt;&gt;0, SUMIF($G$40:$AP$232,$T11,$N$40:$N$232),"")</f>
        <v>5</v>
      </c>
      <c r="Z11" s="57">
        <f ca="1">IF(LEN(TRIM(Z$10))&lt;&gt;0, SUMIF($G$40:$AP$232,$T11,$O$40:$O$232),"")</f>
        <v>2</v>
      </c>
      <c r="AA11" s="57">
        <f ca="1">IF(LEN(TRIM(AA$10))&lt;&gt;0, SUMIF($G$40:$AP$232,$T11,$P$40:$P$232),"")</f>
        <v>0</v>
      </c>
      <c r="AB11" s="57">
        <f ca="1">IF(LEN(TRIM(AB$10))&lt;&gt;0, SUMIF($G$40:$AP$232,$T11,$Q$40:$Q$232),"")</f>
        <v>0</v>
      </c>
      <c r="AC11" s="57">
        <f ca="1">IF(LEN(TRIM(AC$10))&lt;&gt;0, SUMIF($G$40:$AP$232,$T11,$R$40:$R$232),"")</f>
        <v>0</v>
      </c>
      <c r="AD11" s="57">
        <f ca="1">IF(LEN(TRIM(AD$10))&lt;&gt;0, SUMIF($G$40:$AP$232,$T11,$S$40:$S$232),"")</f>
        <v>0</v>
      </c>
      <c r="AE11" s="57">
        <f ca="1">IF(LEN(TRIM(AE$10))&lt;&gt;0, SUMIF($G$40:$AP$232,$T11,$T$40:$T$232),"")</f>
        <v>0</v>
      </c>
      <c r="AF11" s="57">
        <f ca="1">IF(LEN(TRIM(AF$10))&lt;&gt;0, SUMIF($G$40:$AP$232,$T11,$U$40:$U$232),"")</f>
        <v>0</v>
      </c>
      <c r="AG11" s="57">
        <f ca="1">IF(LEN(TRIM(AG$10))&lt;&gt;0, SUMIF($G$40:$AP$232,$T11,$V$40:$V$232),"")</f>
        <v>0</v>
      </c>
      <c r="AH11" s="57">
        <f ca="1">IF(LEN(TRIM(AH$10))&lt;&gt;0, SUMIF($G$40:$AP$232,$T11,$W$40:$W$232),"")</f>
        <v>0</v>
      </c>
      <c r="AI11" s="57" t="str">
        <f>IF(LEN(TRIM(AI$10))&lt;&gt;0, SUMIF($G$40:$AP$232,$T11,$X$40:$X$232),"")</f>
        <v/>
      </c>
      <c r="AJ11" s="57" t="str">
        <f>IF(LEN(TRIM(AJ$10))&lt;&gt;0, SUMIF($G$40:$AP$232,$T11,$Y$40:$Y$232),"")</f>
        <v/>
      </c>
      <c r="AK11" s="57" t="str">
        <f>IF(LEN(TRIM(AK$10))&lt;&gt;0, SUMIF($G$40:$AP$232,$T11,$Z$40:$Z$232),"")</f>
        <v/>
      </c>
      <c r="AL11" s="57" t="str">
        <f>IF(LEN(TRIM(AL$10))&lt;&gt;0, SUMIF($G$40:$AP$232,$T11,$AA$40:$AA$232),"")</f>
        <v/>
      </c>
      <c r="AM11" s="57" t="str">
        <f>IF(LEN(TRIM(AM$10))&lt;&gt;0, SUMIF($G$40:$AP$232,$T11,$AB$40:$AB$232),"")</f>
        <v/>
      </c>
      <c r="AN11" s="57" t="str">
        <f>IF(LEN(TRIM(AN$10))&lt;&gt;0, SUMIF($G$40:$AP$232,$T11,$AC$40:$AC$232),"")</f>
        <v/>
      </c>
      <c r="AO11" s="57" t="str">
        <f>IF(LEN(TRIM(AO$10))&lt;&gt;0, SUMIF($G$40:$AP$232,$T11,$AD$40:$AD$232),"")</f>
        <v/>
      </c>
      <c r="AP11" s="57" t="str">
        <f>IF(LEN(TRIM(AP$10))&lt;&gt;0, SUMIF($G$40:$AP$232,$T11,$AE$40:$AE$232),"")</f>
        <v/>
      </c>
      <c r="AQ11" s="57" t="str">
        <f>IF(LEN(TRIM(AQ$10))&lt;&gt;0, SUMIF($G$40:$AP$232,$T11,$AF$40:$AF$232),"")</f>
        <v/>
      </c>
      <c r="AR11" s="57" t="str">
        <f>IF(LEN(TRIM(AR$10))&lt;&gt;0, SUMIF($G$40:$AP$232,$T11,$AG$40:$AG$232),"")</f>
        <v/>
      </c>
      <c r="AS11" s="57" t="str">
        <f>IF(LEN(TRIM(AS$10))&lt;&gt;0, SUMIF($G$40:$AP$232,$T11,$AH$40:$AH$232),"")</f>
        <v/>
      </c>
      <c r="AT11" s="57" t="str">
        <f>IF(LEN(TRIM(AT$10))&lt;&gt;0, SUMIF($G$40:$AP$232,$T11,$AI$40:$AI$232),"")</f>
        <v/>
      </c>
      <c r="AU11" s="57" t="str">
        <f>IF(LEN(TRIM(AU$10))&lt;&gt;0, SUMIF($G$40:$AP$232,$T11,$AJ$40:$AJ$232),"")</f>
        <v/>
      </c>
      <c r="AV11" s="57" t="str">
        <f>IF(LEN(TRIM(AV$10))&lt;&gt;0, SUMIF($G$40:$AP$232,$T11,$AK$40:$AK$232),"")</f>
        <v/>
      </c>
      <c r="AW11" s="57" t="str">
        <f>IF(LEN(TRIM(AW$10))&lt;&gt;0, SUMIF($G$40:$AP$232,$T11,$AL$40:$AL$232),"")</f>
        <v/>
      </c>
      <c r="AX11" s="57" t="str">
        <f>IF(LEN(TRIM(AX$10))&lt;&gt;0, SUMIF($G$40:$AP$232,$T11,$AM$40:$AM$232),"")</f>
        <v/>
      </c>
      <c r="AY11" s="57" t="str">
        <f>IF(LEN(TRIM(AY$10))&lt;&gt;0, SUMIF($G$40:$AP$232,$T11,$AN$40:$AN$232),"")</f>
        <v/>
      </c>
      <c r="AZ11" s="57" t="str">
        <f>IF(LEN(TRIM(AZ$10))&lt;&gt;0, SUMIF($G$40:$AP$232,$T11,$AO$40:$AO$232),"")</f>
        <v/>
      </c>
      <c r="BA11" s="57" t="str">
        <f>IF(LEN(TRIM(BA$10))&lt;&gt;0, SUMIF($G$40:$AP$232,$T11,$AP$40:$AP$232),"")</f>
        <v/>
      </c>
    </row>
    <row r="12" spans="1:53">
      <c r="A12" s="7"/>
      <c r="B12" s="18" t="s">
        <v>50</v>
      </c>
      <c r="C12" s="42">
        <v>10</v>
      </c>
      <c r="D12" s="8"/>
      <c r="E12" s="8"/>
      <c r="F12" s="8"/>
      <c r="G12" s="9"/>
      <c r="H12" s="9"/>
      <c r="I12" s="9"/>
      <c r="J12" s="9"/>
      <c r="K12" s="9"/>
      <c r="L12" s="9"/>
      <c r="M12" s="9"/>
      <c r="N12" s="9"/>
      <c r="O12" s="9"/>
      <c r="P12" s="9"/>
      <c r="Q12" s="9"/>
      <c r="R12" s="8"/>
      <c r="S12" s="8"/>
      <c r="T12" s="36" t="str">
        <f>Data!B3</f>
        <v>TommyPark</v>
      </c>
      <c r="U12" s="54">
        <f t="shared" ref="U12:U22" ca="1" si="2">SUMIF($G$40:$I$232,$T12,$I$40:$I$232)</f>
        <v>0</v>
      </c>
      <c r="V12" s="55">
        <f t="shared" ref="V12:V22" ca="1" si="3">SUMIF($G$40:$J$232,$T12,$J$40:$J$232)</f>
        <v>0</v>
      </c>
      <c r="W12" s="56">
        <f t="shared" ref="W12:W22" ca="1" si="4">IF(LEN(TRIM(W$10))&lt;&gt;0, SUMIF($G$40:$AP$232,$T12,$L$40:$L$232),"")</f>
        <v>0</v>
      </c>
      <c r="X12" s="57">
        <f t="shared" ref="X12:X22" ca="1" si="5">IF(LEN(TRIM(X$10))&lt;&gt;0, SUMIF($G$40:$AP$232,$T12,$M$40:$M$232),"")</f>
        <v>0</v>
      </c>
      <c r="Y12" s="57">
        <f t="shared" ref="Y12:Y22" ca="1" si="6">IF(LEN(TRIM(Y$10))&lt;&gt;0, SUMIF($G$40:$AP$232,$T12,$N$40:$N$232),"")</f>
        <v>0</v>
      </c>
      <c r="Z12" s="57">
        <f t="shared" ref="Z12:Z22" ca="1" si="7">IF(LEN(TRIM(Z$10))&lt;&gt;0, SUMIF($G$40:$AP$232,$T12,$O$40:$O$232),"")</f>
        <v>0</v>
      </c>
      <c r="AA12" s="57">
        <f t="shared" ref="AA12:AA22" ca="1" si="8">IF(LEN(TRIM(AA$10))&lt;&gt;0, SUMIF($G$40:$AP$232,$T12,$P$40:$P$232),"")</f>
        <v>0</v>
      </c>
      <c r="AB12" s="57">
        <f t="shared" ref="AB12:AB22" ca="1" si="9">IF(LEN(TRIM(AB$10))&lt;&gt;0, SUMIF($G$40:$AP$232,$T12,$Q$40:$Q$232),"")</f>
        <v>0</v>
      </c>
      <c r="AC12" s="57">
        <f t="shared" ref="AC12:AC22" ca="1" si="10">IF(LEN(TRIM(AC$10))&lt;&gt;0, SUMIF($G$40:$AP$232,$T12,$R$40:$R$232),"")</f>
        <v>0</v>
      </c>
      <c r="AD12" s="57">
        <f t="shared" ref="AD12:AD22" ca="1" si="11">IF(LEN(TRIM(AD$10))&lt;&gt;0, SUMIF($G$40:$AP$232,$T12,$S$40:$S$232),"")</f>
        <v>0</v>
      </c>
      <c r="AE12" s="57">
        <f t="shared" ref="AE12:AE22" ca="1" si="12">IF(LEN(TRIM(AE$10))&lt;&gt;0, SUMIF($G$40:$AP$232,$T12,$T$40:$T$232),"")</f>
        <v>0</v>
      </c>
      <c r="AF12" s="57">
        <f t="shared" ref="AF12:AF22" ca="1" si="13">IF(LEN(TRIM(AF$10))&lt;&gt;0, SUMIF($G$40:$AP$232,$T12,$U$40:$U$232),"")</f>
        <v>0</v>
      </c>
      <c r="AG12" s="57">
        <f t="shared" ref="AG12:AG22" ca="1" si="14">IF(LEN(TRIM(AG$10))&lt;&gt;0, SUMIF($G$40:$AP$232,$T12,$V$40:$V$232),"")</f>
        <v>0</v>
      </c>
      <c r="AH12" s="57">
        <f t="shared" ref="AH12:AH22" ca="1" si="15">IF(LEN(TRIM(AH$10))&lt;&gt;0, SUMIF($G$40:$AP$232,$T12,$W$40:$W$232),"")</f>
        <v>0</v>
      </c>
      <c r="AI12" s="57" t="str">
        <f t="shared" ref="AI12:AI22" si="16">IF(LEN(TRIM(AI$10))&lt;&gt;0, SUMIF($G$40:$AP$232,$T12,$X$40:$X$232),"")</f>
        <v/>
      </c>
      <c r="AJ12" s="57" t="str">
        <f t="shared" ref="AJ12:AJ22" si="17">IF(LEN(TRIM(AJ$10))&lt;&gt;0, SUMIF($G$40:$AP$232,$T12,$Y$40:$Y$232),"")</f>
        <v/>
      </c>
      <c r="AK12" s="57" t="str">
        <f t="shared" ref="AK12:AK22" si="18">IF(LEN(TRIM(AK$10))&lt;&gt;0, SUMIF($G$40:$AP$232,$T12,$Z$40:$Z$232),"")</f>
        <v/>
      </c>
      <c r="AL12" s="57" t="str">
        <f t="shared" ref="AL12:AL22" si="19">IF(LEN(TRIM(AL$10))&lt;&gt;0, SUMIF($G$40:$AP$232,$T12,$AA$40:$AA$232),"")</f>
        <v/>
      </c>
      <c r="AM12" s="57" t="str">
        <f t="shared" ref="AM12:AM22" si="20">IF(LEN(TRIM(AM$10))&lt;&gt;0, SUMIF($G$40:$AP$232,$T12,$AB$40:$AB$232),"")</f>
        <v/>
      </c>
      <c r="AN12" s="57" t="str">
        <f t="shared" ref="AN12:AN22" si="21">IF(LEN(TRIM(AN$10))&lt;&gt;0, SUMIF($G$40:$AP$232,$T12,$AC$40:$AC$232),"")</f>
        <v/>
      </c>
      <c r="AO12" s="57" t="str">
        <f t="shared" ref="AO12:AO22" si="22">IF(LEN(TRIM(AO$10))&lt;&gt;0, SUMIF($G$40:$AP$232,$T12,$AD$40:$AD$232),"")</f>
        <v/>
      </c>
      <c r="AP12" s="57" t="str">
        <f t="shared" ref="AP12:AP22" si="23">IF(LEN(TRIM(AP$10))&lt;&gt;0, SUMIF($G$40:$AP$232,$T12,$AE$40:$AE$232),"")</f>
        <v/>
      </c>
      <c r="AQ12" s="57" t="str">
        <f t="shared" ref="AQ12:AQ22" si="24">IF(LEN(TRIM(AQ$10))&lt;&gt;0, SUMIF($G$40:$AP$232,$T12,$AF$40:$AF$232),"")</f>
        <v/>
      </c>
      <c r="AR12" s="57" t="str">
        <f t="shared" ref="AR12:AR22" si="25">IF(LEN(TRIM(AR$10))&lt;&gt;0, SUMIF($G$40:$AP$232,$T12,$AG$40:$AG$232),"")</f>
        <v/>
      </c>
      <c r="AS12" s="57" t="str">
        <f t="shared" ref="AS12:AS22" si="26">IF(LEN(TRIM(AS$10))&lt;&gt;0, SUMIF($G$40:$AP$232,$T12,$AH$40:$AH$232),"")</f>
        <v/>
      </c>
      <c r="AT12" s="57" t="str">
        <f t="shared" ref="AT12:AT22" si="27">IF(LEN(TRIM(AT$10))&lt;&gt;0, SUMIF($G$40:$AP$232,$T12,$AI$40:$AI$232),"")</f>
        <v/>
      </c>
      <c r="AU12" s="57" t="str">
        <f t="shared" ref="AU12:AU22" si="28">IF(LEN(TRIM(AU$10))&lt;&gt;0, SUMIF($G$40:$AP$232,$T12,$AJ$40:$AJ$232),"")</f>
        <v/>
      </c>
      <c r="AV12" s="57" t="str">
        <f t="shared" ref="AV12:AV22" si="29">IF(LEN(TRIM(AV$10))&lt;&gt;0, SUMIF($G$40:$AP$232,$T12,$AK$40:$AK$232),"")</f>
        <v/>
      </c>
      <c r="AW12" s="57" t="str">
        <f t="shared" ref="AW12:AW22" si="30">IF(LEN(TRIM(AW$10))&lt;&gt;0, SUMIF($G$40:$AP$232,$T12,$AL$40:$AL$232),"")</f>
        <v/>
      </c>
      <c r="AX12" s="57" t="str">
        <f t="shared" ref="AX12:AX22" si="31">IF(LEN(TRIM(AX$10))&lt;&gt;0, SUMIF($G$40:$AP$232,$T12,$AM$40:$AM$232),"")</f>
        <v/>
      </c>
      <c r="AY12" s="57" t="str">
        <f t="shared" ref="AY12:AY22" si="32">IF(LEN(TRIM(AY$10))&lt;&gt;0, SUMIF($G$40:$AP$232,$T12,$AN$40:$AN$232),"")</f>
        <v/>
      </c>
      <c r="AZ12" s="57" t="str">
        <f t="shared" ref="AZ12:AZ22" si="33">IF(LEN(TRIM(AZ$10))&lt;&gt;0, SUMIF($G$40:$AP$232,$T12,$AO$40:$AO$232),"")</f>
        <v/>
      </c>
      <c r="BA12" s="57" t="str">
        <f t="shared" ref="BA12:BA22" si="34">IF(LEN(TRIM(BA$10))&lt;&gt;0, SUMIF($G$40:$AP$232,$T12,$AP$40:$AP$232),"")</f>
        <v/>
      </c>
    </row>
    <row r="13" spans="1:53">
      <c r="A13" s="7"/>
      <c r="B13" s="18" t="s">
        <v>51</v>
      </c>
      <c r="C13" s="46">
        <v>41785</v>
      </c>
      <c r="D13" s="8"/>
      <c r="E13" s="8"/>
      <c r="F13" s="8"/>
      <c r="G13" s="9"/>
      <c r="H13" s="9"/>
      <c r="I13" s="9"/>
      <c r="J13" s="9"/>
      <c r="K13" s="9"/>
      <c r="L13" s="9"/>
      <c r="M13" s="9"/>
      <c r="N13" s="9"/>
      <c r="O13" s="9"/>
      <c r="P13" s="9"/>
      <c r="Q13" s="9"/>
      <c r="R13" s="8"/>
      <c r="S13" s="8"/>
      <c r="T13" s="36" t="str">
        <f>Data!B4</f>
        <v>Vijay</v>
      </c>
      <c r="U13" s="54">
        <f t="shared" ca="1" si="2"/>
        <v>20</v>
      </c>
      <c r="V13" s="55">
        <f t="shared" ca="1" si="3"/>
        <v>17</v>
      </c>
      <c r="W13" s="56">
        <f t="shared" ca="1" si="4"/>
        <v>5</v>
      </c>
      <c r="X13" s="57">
        <f t="shared" ca="1" si="5"/>
        <v>5</v>
      </c>
      <c r="Y13" s="57">
        <f t="shared" ca="1" si="6"/>
        <v>5</v>
      </c>
      <c r="Z13" s="57">
        <f t="shared" ca="1" si="7"/>
        <v>2</v>
      </c>
      <c r="AA13" s="57">
        <f t="shared" ca="1" si="8"/>
        <v>0</v>
      </c>
      <c r="AB13" s="57">
        <f t="shared" ca="1" si="9"/>
        <v>0</v>
      </c>
      <c r="AC13" s="57">
        <f t="shared" ca="1" si="10"/>
        <v>0</v>
      </c>
      <c r="AD13" s="57">
        <f t="shared" ca="1" si="11"/>
        <v>0</v>
      </c>
      <c r="AE13" s="57">
        <f t="shared" ca="1" si="12"/>
        <v>0</v>
      </c>
      <c r="AF13" s="57">
        <f t="shared" ca="1" si="13"/>
        <v>0</v>
      </c>
      <c r="AG13" s="57">
        <f t="shared" ca="1" si="14"/>
        <v>0</v>
      </c>
      <c r="AH13" s="57">
        <f t="shared" ca="1" si="15"/>
        <v>0</v>
      </c>
      <c r="AI13" s="57" t="str">
        <f t="shared" si="16"/>
        <v/>
      </c>
      <c r="AJ13" s="57" t="str">
        <f t="shared" si="17"/>
        <v/>
      </c>
      <c r="AK13" s="57" t="str">
        <f t="shared" si="18"/>
        <v/>
      </c>
      <c r="AL13" s="57" t="str">
        <f t="shared" si="19"/>
        <v/>
      </c>
      <c r="AM13" s="57" t="str">
        <f t="shared" si="20"/>
        <v/>
      </c>
      <c r="AN13" s="57" t="str">
        <f t="shared" si="21"/>
        <v/>
      </c>
      <c r="AO13" s="57" t="str">
        <f t="shared" si="22"/>
        <v/>
      </c>
      <c r="AP13" s="57" t="str">
        <f t="shared" si="23"/>
        <v/>
      </c>
      <c r="AQ13" s="57" t="str">
        <f t="shared" si="24"/>
        <v/>
      </c>
      <c r="AR13" s="57" t="str">
        <f t="shared" si="25"/>
        <v/>
      </c>
      <c r="AS13" s="57" t="str">
        <f t="shared" si="26"/>
        <v/>
      </c>
      <c r="AT13" s="57" t="str">
        <f t="shared" si="27"/>
        <v/>
      </c>
      <c r="AU13" s="57" t="str">
        <f t="shared" si="28"/>
        <v/>
      </c>
      <c r="AV13" s="57" t="str">
        <f t="shared" si="29"/>
        <v/>
      </c>
      <c r="AW13" s="57" t="str">
        <f t="shared" si="30"/>
        <v/>
      </c>
      <c r="AX13" s="57" t="str">
        <f t="shared" si="31"/>
        <v/>
      </c>
      <c r="AY13" s="57" t="str">
        <f t="shared" si="32"/>
        <v/>
      </c>
      <c r="AZ13" s="57" t="str">
        <f t="shared" si="33"/>
        <v/>
      </c>
      <c r="BA13" s="57" t="str">
        <f t="shared" si="34"/>
        <v/>
      </c>
    </row>
    <row r="14" spans="1:53">
      <c r="A14" s="7"/>
      <c r="B14" s="18" t="s">
        <v>52</v>
      </c>
      <c r="C14" s="46">
        <v>41796</v>
      </c>
      <c r="D14" s="8"/>
      <c r="E14" s="8"/>
      <c r="F14" s="8"/>
      <c r="G14" s="9"/>
      <c r="H14" s="9"/>
      <c r="I14" s="9"/>
      <c r="J14" s="9"/>
      <c r="K14" s="9"/>
      <c r="L14" s="9"/>
      <c r="M14" s="9"/>
      <c r="N14" s="9"/>
      <c r="O14" s="9"/>
      <c r="P14" s="9"/>
      <c r="Q14" s="9"/>
      <c r="R14" s="8"/>
      <c r="S14" s="8"/>
      <c r="T14" s="36" t="str">
        <f>Data!B5</f>
        <v>ByungseonShin</v>
      </c>
      <c r="U14" s="54">
        <f t="shared" ca="1" si="2"/>
        <v>20</v>
      </c>
      <c r="V14" s="55">
        <f t="shared" ca="1" si="3"/>
        <v>17</v>
      </c>
      <c r="W14" s="56">
        <f t="shared" ca="1" si="4"/>
        <v>5</v>
      </c>
      <c r="X14" s="57">
        <f t="shared" ca="1" si="5"/>
        <v>5</v>
      </c>
      <c r="Y14" s="57">
        <f t="shared" ca="1" si="6"/>
        <v>5</v>
      </c>
      <c r="Z14" s="57">
        <f t="shared" ca="1" si="7"/>
        <v>2</v>
      </c>
      <c r="AA14" s="57">
        <f t="shared" ca="1" si="8"/>
        <v>0</v>
      </c>
      <c r="AB14" s="57">
        <f t="shared" ca="1" si="9"/>
        <v>0</v>
      </c>
      <c r="AC14" s="57">
        <f t="shared" ca="1" si="10"/>
        <v>0</v>
      </c>
      <c r="AD14" s="57">
        <f t="shared" ca="1" si="11"/>
        <v>0</v>
      </c>
      <c r="AE14" s="57">
        <f t="shared" ca="1" si="12"/>
        <v>0</v>
      </c>
      <c r="AF14" s="57">
        <f t="shared" ca="1" si="13"/>
        <v>0</v>
      </c>
      <c r="AG14" s="57">
        <f t="shared" ca="1" si="14"/>
        <v>0</v>
      </c>
      <c r="AH14" s="57">
        <f t="shared" ca="1" si="15"/>
        <v>0</v>
      </c>
      <c r="AI14" s="57" t="str">
        <f t="shared" si="16"/>
        <v/>
      </c>
      <c r="AJ14" s="57" t="str">
        <f t="shared" si="17"/>
        <v/>
      </c>
      <c r="AK14" s="57" t="str">
        <f t="shared" si="18"/>
        <v/>
      </c>
      <c r="AL14" s="57" t="str">
        <f t="shared" si="19"/>
        <v/>
      </c>
      <c r="AM14" s="57" t="str">
        <f t="shared" si="20"/>
        <v/>
      </c>
      <c r="AN14" s="57" t="str">
        <f t="shared" si="21"/>
        <v/>
      </c>
      <c r="AO14" s="57" t="str">
        <f t="shared" si="22"/>
        <v/>
      </c>
      <c r="AP14" s="57" t="str">
        <f t="shared" si="23"/>
        <v/>
      </c>
      <c r="AQ14" s="57" t="str">
        <f t="shared" si="24"/>
        <v/>
      </c>
      <c r="AR14" s="57" t="str">
        <f t="shared" si="25"/>
        <v/>
      </c>
      <c r="AS14" s="57" t="str">
        <f t="shared" si="26"/>
        <v/>
      </c>
      <c r="AT14" s="57" t="str">
        <f t="shared" si="27"/>
        <v/>
      </c>
      <c r="AU14" s="57" t="str">
        <f t="shared" si="28"/>
        <v/>
      </c>
      <c r="AV14" s="57" t="str">
        <f t="shared" si="29"/>
        <v/>
      </c>
      <c r="AW14" s="57" t="str">
        <f t="shared" si="30"/>
        <v/>
      </c>
      <c r="AX14" s="57" t="str">
        <f t="shared" si="31"/>
        <v/>
      </c>
      <c r="AY14" s="57" t="str">
        <f t="shared" si="32"/>
        <v/>
      </c>
      <c r="AZ14" s="57" t="str">
        <f t="shared" si="33"/>
        <v/>
      </c>
      <c r="BA14" s="57" t="str">
        <f t="shared" si="34"/>
        <v/>
      </c>
    </row>
    <row r="15" spans="1:53">
      <c r="A15" s="7"/>
      <c r="B15" s="17" t="s">
        <v>66</v>
      </c>
      <c r="C15" s="17">
        <f>SUM(I40:I232)</f>
        <v>60</v>
      </c>
      <c r="D15" s="8"/>
      <c r="E15" s="8"/>
      <c r="F15" s="8"/>
      <c r="G15" s="9"/>
      <c r="H15" s="9"/>
      <c r="I15" s="9"/>
      <c r="J15" s="9"/>
      <c r="K15" s="9"/>
      <c r="L15" s="9"/>
      <c r="M15" s="9"/>
      <c r="N15" s="9"/>
      <c r="O15" s="9"/>
      <c r="P15" s="9"/>
      <c r="Q15" s="9"/>
      <c r="R15" s="8"/>
      <c r="S15" s="8"/>
      <c r="T15" s="36" t="str">
        <f>Data!B6</f>
        <v>JugwanEom</v>
      </c>
      <c r="U15" s="54">
        <f t="shared" ca="1" si="2"/>
        <v>0</v>
      </c>
      <c r="V15" s="55">
        <f t="shared" ca="1" si="3"/>
        <v>0</v>
      </c>
      <c r="W15" s="56">
        <f t="shared" ca="1" si="4"/>
        <v>0</v>
      </c>
      <c r="X15" s="57">
        <f t="shared" ca="1" si="5"/>
        <v>0</v>
      </c>
      <c r="Y15" s="57">
        <f t="shared" ca="1" si="6"/>
        <v>0</v>
      </c>
      <c r="Z15" s="57">
        <f t="shared" ca="1" si="7"/>
        <v>0</v>
      </c>
      <c r="AA15" s="57">
        <f t="shared" ca="1" si="8"/>
        <v>0</v>
      </c>
      <c r="AB15" s="57">
        <f t="shared" ca="1" si="9"/>
        <v>0</v>
      </c>
      <c r="AC15" s="57">
        <f t="shared" ca="1" si="10"/>
        <v>0</v>
      </c>
      <c r="AD15" s="57">
        <f t="shared" ca="1" si="11"/>
        <v>0</v>
      </c>
      <c r="AE15" s="57">
        <f t="shared" ca="1" si="12"/>
        <v>0</v>
      </c>
      <c r="AF15" s="57">
        <f t="shared" ca="1" si="13"/>
        <v>0</v>
      </c>
      <c r="AG15" s="57">
        <f t="shared" ca="1" si="14"/>
        <v>0</v>
      </c>
      <c r="AH15" s="57">
        <f t="shared" ca="1" si="15"/>
        <v>0</v>
      </c>
      <c r="AI15" s="57" t="str">
        <f t="shared" si="16"/>
        <v/>
      </c>
      <c r="AJ15" s="57" t="str">
        <f t="shared" si="17"/>
        <v/>
      </c>
      <c r="AK15" s="57" t="str">
        <f t="shared" si="18"/>
        <v/>
      </c>
      <c r="AL15" s="57" t="str">
        <f t="shared" si="19"/>
        <v/>
      </c>
      <c r="AM15" s="57" t="str">
        <f t="shared" si="20"/>
        <v/>
      </c>
      <c r="AN15" s="57" t="str">
        <f t="shared" si="21"/>
        <v/>
      </c>
      <c r="AO15" s="57" t="str">
        <f t="shared" si="22"/>
        <v/>
      </c>
      <c r="AP15" s="57" t="str">
        <f t="shared" si="23"/>
        <v/>
      </c>
      <c r="AQ15" s="57" t="str">
        <f t="shared" si="24"/>
        <v/>
      </c>
      <c r="AR15" s="57" t="str">
        <f t="shared" si="25"/>
        <v/>
      </c>
      <c r="AS15" s="57" t="str">
        <f t="shared" si="26"/>
        <v/>
      </c>
      <c r="AT15" s="57" t="str">
        <f t="shared" si="27"/>
        <v/>
      </c>
      <c r="AU15" s="57" t="str">
        <f t="shared" si="28"/>
        <v/>
      </c>
      <c r="AV15" s="57" t="str">
        <f t="shared" si="29"/>
        <v/>
      </c>
      <c r="AW15" s="57" t="str">
        <f t="shared" si="30"/>
        <v/>
      </c>
      <c r="AX15" s="57" t="str">
        <f t="shared" si="31"/>
        <v/>
      </c>
      <c r="AY15" s="57" t="str">
        <f t="shared" si="32"/>
        <v/>
      </c>
      <c r="AZ15" s="57" t="str">
        <f t="shared" si="33"/>
        <v/>
      </c>
      <c r="BA15" s="57" t="str">
        <f t="shared" si="34"/>
        <v/>
      </c>
    </row>
    <row r="16" spans="1:53">
      <c r="A16" s="7"/>
      <c r="B16" s="27" t="s">
        <v>67</v>
      </c>
      <c r="C16" s="62">
        <f>SUM(J40:J232)</f>
        <v>51</v>
      </c>
      <c r="D16" s="8"/>
      <c r="E16" s="8"/>
      <c r="F16" s="8"/>
      <c r="G16" s="9"/>
      <c r="H16" s="9"/>
      <c r="I16" s="9"/>
      <c r="J16" s="9"/>
      <c r="K16" s="9"/>
      <c r="L16" s="9"/>
      <c r="M16" s="9"/>
      <c r="N16" s="9"/>
      <c r="O16" s="9"/>
      <c r="P16" s="9"/>
      <c r="Q16" s="9"/>
      <c r="R16" s="8"/>
      <c r="S16" s="8"/>
      <c r="T16" s="36" t="str">
        <f>Data!B7</f>
        <v>JinyoungDu</v>
      </c>
      <c r="U16" s="54">
        <f t="shared" ca="1" si="2"/>
        <v>0</v>
      </c>
      <c r="V16" s="55">
        <f t="shared" ca="1" si="3"/>
        <v>0</v>
      </c>
      <c r="W16" s="56">
        <f t="shared" ca="1" si="4"/>
        <v>0</v>
      </c>
      <c r="X16" s="57">
        <f t="shared" ca="1" si="5"/>
        <v>0</v>
      </c>
      <c r="Y16" s="57">
        <f t="shared" ca="1" si="6"/>
        <v>0</v>
      </c>
      <c r="Z16" s="57">
        <f t="shared" ca="1" si="7"/>
        <v>0</v>
      </c>
      <c r="AA16" s="57">
        <f t="shared" ca="1" si="8"/>
        <v>0</v>
      </c>
      <c r="AB16" s="57">
        <f t="shared" ca="1" si="9"/>
        <v>0</v>
      </c>
      <c r="AC16" s="57">
        <f t="shared" ca="1" si="10"/>
        <v>0</v>
      </c>
      <c r="AD16" s="57">
        <f t="shared" ca="1" si="11"/>
        <v>0</v>
      </c>
      <c r="AE16" s="57">
        <f t="shared" ca="1" si="12"/>
        <v>0</v>
      </c>
      <c r="AF16" s="57">
        <f t="shared" ca="1" si="13"/>
        <v>0</v>
      </c>
      <c r="AG16" s="57">
        <f t="shared" ca="1" si="14"/>
        <v>0</v>
      </c>
      <c r="AH16" s="57">
        <f t="shared" ca="1" si="15"/>
        <v>0</v>
      </c>
      <c r="AI16" s="57" t="str">
        <f t="shared" si="16"/>
        <v/>
      </c>
      <c r="AJ16" s="57" t="str">
        <f t="shared" si="17"/>
        <v/>
      </c>
      <c r="AK16" s="57" t="str">
        <f t="shared" si="18"/>
        <v/>
      </c>
      <c r="AL16" s="57" t="str">
        <f t="shared" si="19"/>
        <v/>
      </c>
      <c r="AM16" s="57" t="str">
        <f t="shared" si="20"/>
        <v/>
      </c>
      <c r="AN16" s="57" t="str">
        <f t="shared" si="21"/>
        <v/>
      </c>
      <c r="AO16" s="57" t="str">
        <f t="shared" si="22"/>
        <v/>
      </c>
      <c r="AP16" s="57" t="str">
        <f t="shared" si="23"/>
        <v/>
      </c>
      <c r="AQ16" s="57" t="str">
        <f t="shared" si="24"/>
        <v/>
      </c>
      <c r="AR16" s="57" t="str">
        <f t="shared" si="25"/>
        <v/>
      </c>
      <c r="AS16" s="57" t="str">
        <f t="shared" si="26"/>
        <v/>
      </c>
      <c r="AT16" s="57" t="str">
        <f t="shared" si="27"/>
        <v/>
      </c>
      <c r="AU16" s="57" t="str">
        <f t="shared" si="28"/>
        <v/>
      </c>
      <c r="AV16" s="57" t="str">
        <f t="shared" si="29"/>
        <v/>
      </c>
      <c r="AW16" s="57" t="str">
        <f t="shared" si="30"/>
        <v/>
      </c>
      <c r="AX16" s="57" t="str">
        <f t="shared" si="31"/>
        <v/>
      </c>
      <c r="AY16" s="57" t="str">
        <f t="shared" si="32"/>
        <v/>
      </c>
      <c r="AZ16" s="57" t="str">
        <f t="shared" si="33"/>
        <v/>
      </c>
      <c r="BA16" s="57" t="str">
        <f t="shared" si="34"/>
        <v/>
      </c>
    </row>
    <row r="17" spans="1:53">
      <c r="A17" s="7"/>
      <c r="B17" s="8"/>
      <c r="C17" s="8"/>
      <c r="D17" s="8"/>
      <c r="E17" s="8"/>
      <c r="F17" s="8"/>
      <c r="G17" s="9"/>
      <c r="H17" s="9"/>
      <c r="I17" s="9"/>
      <c r="J17" s="9"/>
      <c r="K17" s="9"/>
      <c r="L17" s="9"/>
      <c r="M17" s="9"/>
      <c r="N17" s="9"/>
      <c r="O17" s="9"/>
      <c r="P17" s="9"/>
      <c r="Q17" s="9"/>
      <c r="R17" s="8"/>
      <c r="S17" s="8"/>
      <c r="T17" s="36"/>
      <c r="U17" s="54">
        <f t="shared" ca="1" si="2"/>
        <v>0</v>
      </c>
      <c r="V17" s="55">
        <f t="shared" ca="1" si="3"/>
        <v>0</v>
      </c>
      <c r="W17" s="56">
        <f t="shared" ca="1" si="4"/>
        <v>0</v>
      </c>
      <c r="X17" s="57">
        <f t="shared" ca="1" si="5"/>
        <v>0</v>
      </c>
      <c r="Y17" s="57">
        <f t="shared" ca="1" si="6"/>
        <v>0</v>
      </c>
      <c r="Z17" s="57">
        <f t="shared" ca="1" si="7"/>
        <v>0</v>
      </c>
      <c r="AA17" s="57">
        <f t="shared" ca="1" si="8"/>
        <v>0</v>
      </c>
      <c r="AB17" s="57">
        <f t="shared" ca="1" si="9"/>
        <v>0</v>
      </c>
      <c r="AC17" s="57">
        <f t="shared" ca="1" si="10"/>
        <v>0</v>
      </c>
      <c r="AD17" s="57">
        <f t="shared" ca="1" si="11"/>
        <v>0</v>
      </c>
      <c r="AE17" s="57">
        <f t="shared" ca="1" si="12"/>
        <v>0</v>
      </c>
      <c r="AF17" s="57">
        <f t="shared" ca="1" si="13"/>
        <v>0</v>
      </c>
      <c r="AG17" s="57">
        <f t="shared" ca="1" si="14"/>
        <v>0</v>
      </c>
      <c r="AH17" s="57">
        <f t="shared" ca="1" si="15"/>
        <v>0</v>
      </c>
      <c r="AI17" s="57" t="str">
        <f t="shared" si="16"/>
        <v/>
      </c>
      <c r="AJ17" s="57" t="str">
        <f t="shared" si="17"/>
        <v/>
      </c>
      <c r="AK17" s="57" t="str">
        <f t="shared" si="18"/>
        <v/>
      </c>
      <c r="AL17" s="57" t="str">
        <f t="shared" si="19"/>
        <v/>
      </c>
      <c r="AM17" s="57" t="str">
        <f t="shared" si="20"/>
        <v/>
      </c>
      <c r="AN17" s="57" t="str">
        <f t="shared" si="21"/>
        <v/>
      </c>
      <c r="AO17" s="57" t="str">
        <f t="shared" si="22"/>
        <v/>
      </c>
      <c r="AP17" s="57" t="str">
        <f t="shared" si="23"/>
        <v/>
      </c>
      <c r="AQ17" s="57" t="str">
        <f t="shared" si="24"/>
        <v/>
      </c>
      <c r="AR17" s="57" t="str">
        <f t="shared" si="25"/>
        <v/>
      </c>
      <c r="AS17" s="57" t="str">
        <f t="shared" si="26"/>
        <v/>
      </c>
      <c r="AT17" s="57" t="str">
        <f t="shared" si="27"/>
        <v/>
      </c>
      <c r="AU17" s="57" t="str">
        <f t="shared" si="28"/>
        <v/>
      </c>
      <c r="AV17" s="57" t="str">
        <f t="shared" si="29"/>
        <v/>
      </c>
      <c r="AW17" s="57" t="str">
        <f t="shared" si="30"/>
        <v/>
      </c>
      <c r="AX17" s="57" t="str">
        <f t="shared" si="31"/>
        <v/>
      </c>
      <c r="AY17" s="57" t="str">
        <f t="shared" si="32"/>
        <v/>
      </c>
      <c r="AZ17" s="57" t="str">
        <f t="shared" si="33"/>
        <v/>
      </c>
      <c r="BA17" s="57" t="str">
        <f t="shared" si="34"/>
        <v/>
      </c>
    </row>
    <row r="18" spans="1:53">
      <c r="A18" s="7"/>
      <c r="B18" s="8"/>
      <c r="C18" s="8"/>
      <c r="D18" s="8"/>
      <c r="E18" s="8"/>
      <c r="F18" s="8"/>
      <c r="G18" s="9"/>
      <c r="H18" s="9"/>
      <c r="I18" s="9"/>
      <c r="J18" s="9"/>
      <c r="K18" s="9"/>
      <c r="L18" s="9"/>
      <c r="M18" s="9"/>
      <c r="N18" s="9"/>
      <c r="O18" s="9"/>
      <c r="P18" s="9"/>
      <c r="Q18" s="9"/>
      <c r="R18" s="8"/>
      <c r="S18" s="8"/>
      <c r="T18" s="36"/>
      <c r="U18" s="54">
        <f t="shared" ca="1" si="2"/>
        <v>0</v>
      </c>
      <c r="V18" s="55">
        <f t="shared" ca="1" si="3"/>
        <v>0</v>
      </c>
      <c r="W18" s="56">
        <f t="shared" ca="1" si="4"/>
        <v>0</v>
      </c>
      <c r="X18" s="57">
        <f t="shared" ca="1" si="5"/>
        <v>0</v>
      </c>
      <c r="Y18" s="57">
        <f t="shared" ca="1" si="6"/>
        <v>0</v>
      </c>
      <c r="Z18" s="57">
        <f t="shared" ca="1" si="7"/>
        <v>0</v>
      </c>
      <c r="AA18" s="57">
        <f t="shared" ca="1" si="8"/>
        <v>0</v>
      </c>
      <c r="AB18" s="57">
        <f t="shared" ca="1" si="9"/>
        <v>0</v>
      </c>
      <c r="AC18" s="57">
        <f t="shared" ca="1" si="10"/>
        <v>0</v>
      </c>
      <c r="AD18" s="57">
        <f t="shared" ca="1" si="11"/>
        <v>0</v>
      </c>
      <c r="AE18" s="57">
        <f t="shared" ca="1" si="12"/>
        <v>0</v>
      </c>
      <c r="AF18" s="57">
        <f t="shared" ca="1" si="13"/>
        <v>0</v>
      </c>
      <c r="AG18" s="57">
        <f t="shared" ca="1" si="14"/>
        <v>0</v>
      </c>
      <c r="AH18" s="57">
        <f t="shared" ca="1" si="15"/>
        <v>0</v>
      </c>
      <c r="AI18" s="57" t="str">
        <f t="shared" si="16"/>
        <v/>
      </c>
      <c r="AJ18" s="57" t="str">
        <f t="shared" si="17"/>
        <v/>
      </c>
      <c r="AK18" s="57" t="str">
        <f t="shared" si="18"/>
        <v/>
      </c>
      <c r="AL18" s="57" t="str">
        <f t="shared" si="19"/>
        <v/>
      </c>
      <c r="AM18" s="57" t="str">
        <f t="shared" si="20"/>
        <v/>
      </c>
      <c r="AN18" s="57" t="str">
        <f t="shared" si="21"/>
        <v/>
      </c>
      <c r="AO18" s="57" t="str">
        <f t="shared" si="22"/>
        <v/>
      </c>
      <c r="AP18" s="57" t="str">
        <f t="shared" si="23"/>
        <v/>
      </c>
      <c r="AQ18" s="57" t="str">
        <f t="shared" si="24"/>
        <v/>
      </c>
      <c r="AR18" s="57" t="str">
        <f t="shared" si="25"/>
        <v/>
      </c>
      <c r="AS18" s="57" t="str">
        <f t="shared" si="26"/>
        <v/>
      </c>
      <c r="AT18" s="57" t="str">
        <f t="shared" si="27"/>
        <v/>
      </c>
      <c r="AU18" s="57" t="str">
        <f t="shared" si="28"/>
        <v/>
      </c>
      <c r="AV18" s="57" t="str">
        <f t="shared" si="29"/>
        <v/>
      </c>
      <c r="AW18" s="57" t="str">
        <f t="shared" si="30"/>
        <v/>
      </c>
      <c r="AX18" s="57" t="str">
        <f t="shared" si="31"/>
        <v/>
      </c>
      <c r="AY18" s="57" t="str">
        <f t="shared" si="32"/>
        <v/>
      </c>
      <c r="AZ18" s="57" t="str">
        <f t="shared" si="33"/>
        <v/>
      </c>
      <c r="BA18" s="57" t="str">
        <f t="shared" si="34"/>
        <v/>
      </c>
    </row>
    <row r="19" spans="1:53">
      <c r="A19" s="7"/>
      <c r="B19" s="8"/>
      <c r="C19" s="8"/>
      <c r="D19" s="8"/>
      <c r="E19" s="8"/>
      <c r="F19" s="8"/>
      <c r="G19" s="9"/>
      <c r="H19" s="9"/>
      <c r="I19" s="9"/>
      <c r="J19" s="9"/>
      <c r="K19" s="9"/>
      <c r="L19" s="9"/>
      <c r="M19" s="9"/>
      <c r="N19" s="9"/>
      <c r="O19" s="9"/>
      <c r="P19" s="9"/>
      <c r="Q19" s="9"/>
      <c r="R19" s="8"/>
      <c r="S19" s="8"/>
      <c r="T19" s="36"/>
      <c r="U19" s="54">
        <f t="shared" ca="1" si="2"/>
        <v>0</v>
      </c>
      <c r="V19" s="55">
        <f t="shared" ca="1" si="3"/>
        <v>0</v>
      </c>
      <c r="W19" s="56">
        <f t="shared" ca="1" si="4"/>
        <v>0</v>
      </c>
      <c r="X19" s="57">
        <f t="shared" ca="1" si="5"/>
        <v>0</v>
      </c>
      <c r="Y19" s="57">
        <f t="shared" ca="1" si="6"/>
        <v>0</v>
      </c>
      <c r="Z19" s="57">
        <f t="shared" ca="1" si="7"/>
        <v>0</v>
      </c>
      <c r="AA19" s="57">
        <f t="shared" ca="1" si="8"/>
        <v>0</v>
      </c>
      <c r="AB19" s="57">
        <f t="shared" ca="1" si="9"/>
        <v>0</v>
      </c>
      <c r="AC19" s="57">
        <f t="shared" ca="1" si="10"/>
        <v>0</v>
      </c>
      <c r="AD19" s="57">
        <f t="shared" ca="1" si="11"/>
        <v>0</v>
      </c>
      <c r="AE19" s="57">
        <f t="shared" ca="1" si="12"/>
        <v>0</v>
      </c>
      <c r="AF19" s="57">
        <f t="shared" ca="1" si="13"/>
        <v>0</v>
      </c>
      <c r="AG19" s="57">
        <f t="shared" ca="1" si="14"/>
        <v>0</v>
      </c>
      <c r="AH19" s="57">
        <f t="shared" ca="1" si="15"/>
        <v>0</v>
      </c>
      <c r="AI19" s="57" t="str">
        <f t="shared" si="16"/>
        <v/>
      </c>
      <c r="AJ19" s="57" t="str">
        <f t="shared" si="17"/>
        <v/>
      </c>
      <c r="AK19" s="57" t="str">
        <f t="shared" si="18"/>
        <v/>
      </c>
      <c r="AL19" s="57" t="str">
        <f t="shared" si="19"/>
        <v/>
      </c>
      <c r="AM19" s="57" t="str">
        <f t="shared" si="20"/>
        <v/>
      </c>
      <c r="AN19" s="57" t="str">
        <f t="shared" si="21"/>
        <v/>
      </c>
      <c r="AO19" s="57" t="str">
        <f t="shared" si="22"/>
        <v/>
      </c>
      <c r="AP19" s="57" t="str">
        <f t="shared" si="23"/>
        <v/>
      </c>
      <c r="AQ19" s="57" t="str">
        <f t="shared" si="24"/>
        <v/>
      </c>
      <c r="AR19" s="57" t="str">
        <f t="shared" si="25"/>
        <v/>
      </c>
      <c r="AS19" s="57" t="str">
        <f t="shared" si="26"/>
        <v/>
      </c>
      <c r="AT19" s="57" t="str">
        <f t="shared" si="27"/>
        <v/>
      </c>
      <c r="AU19" s="57" t="str">
        <f t="shared" si="28"/>
        <v/>
      </c>
      <c r="AV19" s="57" t="str">
        <f t="shared" si="29"/>
        <v/>
      </c>
      <c r="AW19" s="57" t="str">
        <f t="shared" si="30"/>
        <v/>
      </c>
      <c r="AX19" s="57" t="str">
        <f t="shared" si="31"/>
        <v/>
      </c>
      <c r="AY19" s="57" t="str">
        <f t="shared" si="32"/>
        <v/>
      </c>
      <c r="AZ19" s="57" t="str">
        <f t="shared" si="33"/>
        <v/>
      </c>
      <c r="BA19" s="57" t="str">
        <f t="shared" si="34"/>
        <v/>
      </c>
    </row>
    <row r="20" spans="1:53">
      <c r="A20" s="7"/>
      <c r="B20" s="8"/>
      <c r="C20" s="8"/>
      <c r="D20" s="8"/>
      <c r="E20" s="8"/>
      <c r="F20" s="8"/>
      <c r="G20" s="9"/>
      <c r="H20" s="9"/>
      <c r="I20" s="9"/>
      <c r="J20" s="9"/>
      <c r="K20" s="9"/>
      <c r="L20" s="9"/>
      <c r="M20" s="9"/>
      <c r="N20" s="9"/>
      <c r="O20" s="9"/>
      <c r="P20" s="9"/>
      <c r="Q20" s="9"/>
      <c r="R20" s="8"/>
      <c r="S20" s="8"/>
      <c r="T20" s="36"/>
      <c r="U20" s="54">
        <f t="shared" ca="1" si="2"/>
        <v>0</v>
      </c>
      <c r="V20" s="55">
        <f t="shared" ca="1" si="3"/>
        <v>0</v>
      </c>
      <c r="W20" s="56">
        <f t="shared" ca="1" si="4"/>
        <v>0</v>
      </c>
      <c r="X20" s="57">
        <f t="shared" ca="1" si="5"/>
        <v>0</v>
      </c>
      <c r="Y20" s="57">
        <f t="shared" ca="1" si="6"/>
        <v>0</v>
      </c>
      <c r="Z20" s="57">
        <f t="shared" ca="1" si="7"/>
        <v>0</v>
      </c>
      <c r="AA20" s="57">
        <f t="shared" ca="1" si="8"/>
        <v>0</v>
      </c>
      <c r="AB20" s="57">
        <f t="shared" ca="1" si="9"/>
        <v>0</v>
      </c>
      <c r="AC20" s="57">
        <f t="shared" ca="1" si="10"/>
        <v>0</v>
      </c>
      <c r="AD20" s="57">
        <f t="shared" ca="1" si="11"/>
        <v>0</v>
      </c>
      <c r="AE20" s="57">
        <f t="shared" ca="1" si="12"/>
        <v>0</v>
      </c>
      <c r="AF20" s="57">
        <f t="shared" ca="1" si="13"/>
        <v>0</v>
      </c>
      <c r="AG20" s="57">
        <f t="shared" ca="1" si="14"/>
        <v>0</v>
      </c>
      <c r="AH20" s="57">
        <f t="shared" ca="1" si="15"/>
        <v>0</v>
      </c>
      <c r="AI20" s="57" t="str">
        <f t="shared" si="16"/>
        <v/>
      </c>
      <c r="AJ20" s="57" t="str">
        <f t="shared" si="17"/>
        <v/>
      </c>
      <c r="AK20" s="57" t="str">
        <f t="shared" si="18"/>
        <v/>
      </c>
      <c r="AL20" s="57" t="str">
        <f t="shared" si="19"/>
        <v/>
      </c>
      <c r="AM20" s="57" t="str">
        <f t="shared" si="20"/>
        <v/>
      </c>
      <c r="AN20" s="57" t="str">
        <f t="shared" si="21"/>
        <v/>
      </c>
      <c r="AO20" s="57" t="str">
        <f t="shared" si="22"/>
        <v/>
      </c>
      <c r="AP20" s="57" t="str">
        <f t="shared" si="23"/>
        <v/>
      </c>
      <c r="AQ20" s="57" t="str">
        <f t="shared" si="24"/>
        <v/>
      </c>
      <c r="AR20" s="57" t="str">
        <f t="shared" si="25"/>
        <v/>
      </c>
      <c r="AS20" s="57" t="str">
        <f t="shared" si="26"/>
        <v/>
      </c>
      <c r="AT20" s="57" t="str">
        <f t="shared" si="27"/>
        <v/>
      </c>
      <c r="AU20" s="57" t="str">
        <f t="shared" si="28"/>
        <v/>
      </c>
      <c r="AV20" s="57" t="str">
        <f t="shared" si="29"/>
        <v/>
      </c>
      <c r="AW20" s="57" t="str">
        <f t="shared" si="30"/>
        <v/>
      </c>
      <c r="AX20" s="57" t="str">
        <f t="shared" si="31"/>
        <v/>
      </c>
      <c r="AY20" s="57" t="str">
        <f t="shared" si="32"/>
        <v/>
      </c>
      <c r="AZ20" s="57" t="str">
        <f t="shared" si="33"/>
        <v/>
      </c>
      <c r="BA20" s="57" t="str">
        <f t="shared" si="34"/>
        <v/>
      </c>
    </row>
    <row r="21" spans="1:53">
      <c r="A21" s="7"/>
      <c r="B21" s="8"/>
      <c r="C21" s="8"/>
      <c r="D21" s="8"/>
      <c r="E21" s="8"/>
      <c r="F21" s="8"/>
      <c r="G21" s="9"/>
      <c r="H21" s="9"/>
      <c r="I21" s="9"/>
      <c r="J21" s="9"/>
      <c r="K21" s="9"/>
      <c r="L21" s="9"/>
      <c r="M21" s="9"/>
      <c r="N21" s="9"/>
      <c r="O21" s="9"/>
      <c r="P21" s="9"/>
      <c r="Q21" s="9"/>
      <c r="R21" s="8"/>
      <c r="S21" s="8"/>
      <c r="T21" s="36"/>
      <c r="U21" s="54">
        <f t="shared" ca="1" si="2"/>
        <v>0</v>
      </c>
      <c r="V21" s="55">
        <f t="shared" ca="1" si="3"/>
        <v>0</v>
      </c>
      <c r="W21" s="56">
        <f t="shared" ca="1" si="4"/>
        <v>0</v>
      </c>
      <c r="X21" s="57">
        <f t="shared" ca="1" si="5"/>
        <v>0</v>
      </c>
      <c r="Y21" s="57">
        <f t="shared" ca="1" si="6"/>
        <v>0</v>
      </c>
      <c r="Z21" s="57">
        <f t="shared" ca="1" si="7"/>
        <v>0</v>
      </c>
      <c r="AA21" s="57">
        <f t="shared" ca="1" si="8"/>
        <v>0</v>
      </c>
      <c r="AB21" s="57">
        <f t="shared" ca="1" si="9"/>
        <v>0</v>
      </c>
      <c r="AC21" s="57">
        <f t="shared" ca="1" si="10"/>
        <v>0</v>
      </c>
      <c r="AD21" s="57">
        <f t="shared" ca="1" si="11"/>
        <v>0</v>
      </c>
      <c r="AE21" s="57">
        <f t="shared" ca="1" si="12"/>
        <v>0</v>
      </c>
      <c r="AF21" s="57">
        <f t="shared" ca="1" si="13"/>
        <v>0</v>
      </c>
      <c r="AG21" s="57">
        <f t="shared" ca="1" si="14"/>
        <v>0</v>
      </c>
      <c r="AH21" s="57">
        <f t="shared" ca="1" si="15"/>
        <v>0</v>
      </c>
      <c r="AI21" s="57" t="str">
        <f t="shared" si="16"/>
        <v/>
      </c>
      <c r="AJ21" s="57" t="str">
        <f t="shared" si="17"/>
        <v/>
      </c>
      <c r="AK21" s="57" t="str">
        <f t="shared" si="18"/>
        <v/>
      </c>
      <c r="AL21" s="57" t="str">
        <f t="shared" si="19"/>
        <v/>
      </c>
      <c r="AM21" s="57" t="str">
        <f t="shared" si="20"/>
        <v/>
      </c>
      <c r="AN21" s="57" t="str">
        <f t="shared" si="21"/>
        <v/>
      </c>
      <c r="AO21" s="57" t="str">
        <f t="shared" si="22"/>
        <v/>
      </c>
      <c r="AP21" s="57" t="str">
        <f t="shared" si="23"/>
        <v/>
      </c>
      <c r="AQ21" s="57" t="str">
        <f t="shared" si="24"/>
        <v/>
      </c>
      <c r="AR21" s="57" t="str">
        <f t="shared" si="25"/>
        <v/>
      </c>
      <c r="AS21" s="57" t="str">
        <f t="shared" si="26"/>
        <v/>
      </c>
      <c r="AT21" s="57" t="str">
        <f t="shared" si="27"/>
        <v/>
      </c>
      <c r="AU21" s="57" t="str">
        <f t="shared" si="28"/>
        <v/>
      </c>
      <c r="AV21" s="57" t="str">
        <f t="shared" si="29"/>
        <v/>
      </c>
      <c r="AW21" s="57" t="str">
        <f t="shared" si="30"/>
        <v/>
      </c>
      <c r="AX21" s="57" t="str">
        <f t="shared" si="31"/>
        <v/>
      </c>
      <c r="AY21" s="57" t="str">
        <f t="shared" si="32"/>
        <v/>
      </c>
      <c r="AZ21" s="57" t="str">
        <f t="shared" si="33"/>
        <v/>
      </c>
      <c r="BA21" s="57" t="str">
        <f t="shared" si="34"/>
        <v/>
      </c>
    </row>
    <row r="22" spans="1:53">
      <c r="A22" s="7"/>
      <c r="B22" s="8"/>
      <c r="C22" s="8"/>
      <c r="D22" s="8"/>
      <c r="E22" s="8"/>
      <c r="F22" s="8"/>
      <c r="G22" s="9"/>
      <c r="H22" s="9"/>
      <c r="I22" s="9"/>
      <c r="J22" s="9"/>
      <c r="K22" s="9"/>
      <c r="L22" s="9"/>
      <c r="M22" s="9"/>
      <c r="N22" s="9"/>
      <c r="O22" s="9"/>
      <c r="P22" s="9"/>
      <c r="Q22" s="9"/>
      <c r="R22" s="8"/>
      <c r="S22" s="8"/>
      <c r="T22" s="36"/>
      <c r="U22" s="54">
        <f t="shared" ca="1" si="2"/>
        <v>0</v>
      </c>
      <c r="V22" s="55">
        <f t="shared" ca="1" si="3"/>
        <v>0</v>
      </c>
      <c r="W22" s="56">
        <f t="shared" ca="1" si="4"/>
        <v>0</v>
      </c>
      <c r="X22" s="57">
        <f t="shared" ca="1" si="5"/>
        <v>0</v>
      </c>
      <c r="Y22" s="57">
        <f t="shared" ca="1" si="6"/>
        <v>0</v>
      </c>
      <c r="Z22" s="57">
        <f t="shared" ca="1" si="7"/>
        <v>0</v>
      </c>
      <c r="AA22" s="57">
        <f t="shared" ca="1" si="8"/>
        <v>0</v>
      </c>
      <c r="AB22" s="57">
        <f t="shared" ca="1" si="9"/>
        <v>0</v>
      </c>
      <c r="AC22" s="57">
        <f t="shared" ca="1" si="10"/>
        <v>0</v>
      </c>
      <c r="AD22" s="57">
        <f t="shared" ca="1" si="11"/>
        <v>0</v>
      </c>
      <c r="AE22" s="57">
        <f t="shared" ca="1" si="12"/>
        <v>0</v>
      </c>
      <c r="AF22" s="57">
        <f t="shared" ca="1" si="13"/>
        <v>0</v>
      </c>
      <c r="AG22" s="57">
        <f t="shared" ca="1" si="14"/>
        <v>0</v>
      </c>
      <c r="AH22" s="57">
        <f t="shared" ca="1" si="15"/>
        <v>0</v>
      </c>
      <c r="AI22" s="57" t="str">
        <f t="shared" si="16"/>
        <v/>
      </c>
      <c r="AJ22" s="57" t="str">
        <f t="shared" si="17"/>
        <v/>
      </c>
      <c r="AK22" s="57" t="str">
        <f t="shared" si="18"/>
        <v/>
      </c>
      <c r="AL22" s="57" t="str">
        <f t="shared" si="19"/>
        <v/>
      </c>
      <c r="AM22" s="57" t="str">
        <f t="shared" si="20"/>
        <v/>
      </c>
      <c r="AN22" s="57" t="str">
        <f t="shared" si="21"/>
        <v/>
      </c>
      <c r="AO22" s="57" t="str">
        <f t="shared" si="22"/>
        <v/>
      </c>
      <c r="AP22" s="57" t="str">
        <f t="shared" si="23"/>
        <v/>
      </c>
      <c r="AQ22" s="57" t="str">
        <f t="shared" si="24"/>
        <v/>
      </c>
      <c r="AR22" s="57" t="str">
        <f t="shared" si="25"/>
        <v/>
      </c>
      <c r="AS22" s="57" t="str">
        <f t="shared" si="26"/>
        <v/>
      </c>
      <c r="AT22" s="57" t="str">
        <f t="shared" si="27"/>
        <v/>
      </c>
      <c r="AU22" s="57" t="str">
        <f t="shared" si="28"/>
        <v/>
      </c>
      <c r="AV22" s="57" t="str">
        <f t="shared" si="29"/>
        <v/>
      </c>
      <c r="AW22" s="57" t="str">
        <f t="shared" si="30"/>
        <v/>
      </c>
      <c r="AX22" s="57" t="str">
        <f t="shared" si="31"/>
        <v/>
      </c>
      <c r="AY22" s="57" t="str">
        <f t="shared" si="32"/>
        <v/>
      </c>
      <c r="AZ22" s="57" t="str">
        <f t="shared" si="33"/>
        <v/>
      </c>
      <c r="BA22" s="57" t="str">
        <f t="shared" si="34"/>
        <v/>
      </c>
    </row>
    <row r="23" spans="1:53">
      <c r="A23" s="7"/>
      <c r="B23" s="8"/>
      <c r="C23" s="8"/>
      <c r="D23" s="8"/>
      <c r="E23" s="8"/>
      <c r="F23" s="8"/>
      <c r="G23" s="9"/>
      <c r="H23" s="9"/>
      <c r="I23" s="9"/>
      <c r="J23" s="9"/>
      <c r="K23" s="9"/>
      <c r="L23" s="9"/>
      <c r="M23" s="9"/>
      <c r="N23" s="9"/>
      <c r="O23" s="9"/>
      <c r="P23" s="9"/>
      <c r="Q23" s="9"/>
      <c r="R23" s="8"/>
      <c r="S23" s="8"/>
      <c r="T23" s="37" t="s">
        <v>29</v>
      </c>
      <c r="U23" s="58"/>
      <c r="V23" s="59"/>
      <c r="W23" s="56">
        <f t="shared" ref="W23:BA23" ca="1" si="35">IF(LEN(TRIM(W$10))&lt;&gt;0,SUM(W11:W20),"")</f>
        <v>15</v>
      </c>
      <c r="X23" s="57">
        <f t="shared" ca="1" si="35"/>
        <v>15</v>
      </c>
      <c r="Y23" s="57">
        <f t="shared" ca="1" si="35"/>
        <v>15</v>
      </c>
      <c r="Z23" s="57">
        <f t="shared" ca="1" si="35"/>
        <v>6</v>
      </c>
      <c r="AA23" s="57">
        <f t="shared" ca="1" si="35"/>
        <v>0</v>
      </c>
      <c r="AB23" s="57">
        <f t="shared" ca="1" si="35"/>
        <v>0</v>
      </c>
      <c r="AC23" s="57">
        <f t="shared" ca="1" si="35"/>
        <v>0</v>
      </c>
      <c r="AD23" s="57">
        <f t="shared" ca="1" si="35"/>
        <v>0</v>
      </c>
      <c r="AE23" s="57">
        <f t="shared" ca="1" si="35"/>
        <v>0</v>
      </c>
      <c r="AF23" s="57">
        <f t="shared" ca="1" si="35"/>
        <v>0</v>
      </c>
      <c r="AG23" s="57">
        <f t="shared" ca="1" si="35"/>
        <v>0</v>
      </c>
      <c r="AH23" s="57">
        <f t="shared" ca="1" si="35"/>
        <v>0</v>
      </c>
      <c r="AI23" s="57" t="str">
        <f t="shared" si="35"/>
        <v/>
      </c>
      <c r="AJ23" s="57" t="str">
        <f t="shared" si="35"/>
        <v/>
      </c>
      <c r="AK23" s="57" t="str">
        <f t="shared" si="35"/>
        <v/>
      </c>
      <c r="AL23" s="57" t="str">
        <f t="shared" si="35"/>
        <v/>
      </c>
      <c r="AM23" s="57" t="str">
        <f t="shared" si="35"/>
        <v/>
      </c>
      <c r="AN23" s="57" t="str">
        <f t="shared" si="35"/>
        <v/>
      </c>
      <c r="AO23" s="57" t="str">
        <f t="shared" si="35"/>
        <v/>
      </c>
      <c r="AP23" s="57" t="str">
        <f t="shared" si="35"/>
        <v/>
      </c>
      <c r="AQ23" s="57" t="str">
        <f t="shared" si="35"/>
        <v/>
      </c>
      <c r="AR23" s="57" t="str">
        <f t="shared" si="35"/>
        <v/>
      </c>
      <c r="AS23" s="57" t="str">
        <f t="shared" si="35"/>
        <v/>
      </c>
      <c r="AT23" s="57" t="str">
        <f t="shared" si="35"/>
        <v/>
      </c>
      <c r="AU23" s="57" t="str">
        <f t="shared" si="35"/>
        <v/>
      </c>
      <c r="AV23" s="57" t="str">
        <f t="shared" si="35"/>
        <v/>
      </c>
      <c r="AW23" s="57" t="str">
        <f t="shared" si="35"/>
        <v/>
      </c>
      <c r="AX23" s="57" t="str">
        <f t="shared" si="35"/>
        <v/>
      </c>
      <c r="AY23" s="57" t="str">
        <f t="shared" si="35"/>
        <v/>
      </c>
      <c r="AZ23" s="57" t="str">
        <f t="shared" si="35"/>
        <v/>
      </c>
      <c r="BA23" s="57" t="str">
        <f t="shared" si="35"/>
        <v/>
      </c>
    </row>
    <row r="24" spans="1:53" ht="18.75" thickBot="1">
      <c r="A24" s="7"/>
      <c r="B24" s="11"/>
      <c r="C24" s="8"/>
      <c r="D24" s="8"/>
      <c r="E24" s="8"/>
      <c r="F24" s="8"/>
      <c r="G24" s="9"/>
      <c r="H24" s="9"/>
      <c r="I24" s="9"/>
      <c r="J24" s="9"/>
      <c r="K24" s="9"/>
      <c r="L24" s="9"/>
      <c r="M24" s="9"/>
      <c r="N24" s="9"/>
      <c r="O24" s="9"/>
      <c r="P24" s="9"/>
      <c r="Q24" s="9"/>
      <c r="R24" s="8"/>
      <c r="S24" s="8"/>
      <c r="T24" s="37" t="s">
        <v>56</v>
      </c>
      <c r="U24" s="60"/>
      <c r="V24" s="61"/>
      <c r="W24" s="56">
        <f ca="1">IF(LEN(TRIM(W$10))&lt;&gt;0,C15-W23,"")</f>
        <v>45</v>
      </c>
      <c r="X24" s="57">
        <f t="shared" ref="X24:BA24" ca="1" si="36">IF(LEN(TRIM(X$10))&lt;&gt;0, W24-X23,"")</f>
        <v>30</v>
      </c>
      <c r="Y24" s="57">
        <f t="shared" ca="1" si="36"/>
        <v>15</v>
      </c>
      <c r="Z24" s="57">
        <f t="shared" ca="1" si="36"/>
        <v>9</v>
      </c>
      <c r="AA24" s="57">
        <f t="shared" ca="1" si="36"/>
        <v>9</v>
      </c>
      <c r="AB24" s="57">
        <f t="shared" ca="1" si="36"/>
        <v>9</v>
      </c>
      <c r="AC24" s="57">
        <f t="shared" ca="1" si="36"/>
        <v>9</v>
      </c>
      <c r="AD24" s="57">
        <f t="shared" ca="1" si="36"/>
        <v>9</v>
      </c>
      <c r="AE24" s="57">
        <f t="shared" ca="1" si="36"/>
        <v>9</v>
      </c>
      <c r="AF24" s="57">
        <f t="shared" ca="1" si="36"/>
        <v>9</v>
      </c>
      <c r="AG24" s="57">
        <f t="shared" ca="1" si="36"/>
        <v>9</v>
      </c>
      <c r="AH24" s="57">
        <f t="shared" ca="1" si="36"/>
        <v>9</v>
      </c>
      <c r="AI24" s="57" t="str">
        <f t="shared" si="36"/>
        <v/>
      </c>
      <c r="AJ24" s="57" t="str">
        <f t="shared" si="36"/>
        <v/>
      </c>
      <c r="AK24" s="57" t="str">
        <f t="shared" si="36"/>
        <v/>
      </c>
      <c r="AL24" s="57" t="str">
        <f t="shared" si="36"/>
        <v/>
      </c>
      <c r="AM24" s="57" t="str">
        <f t="shared" si="36"/>
        <v/>
      </c>
      <c r="AN24" s="57" t="str">
        <f t="shared" si="36"/>
        <v/>
      </c>
      <c r="AO24" s="57" t="str">
        <f t="shared" si="36"/>
        <v/>
      </c>
      <c r="AP24" s="57" t="str">
        <f t="shared" si="36"/>
        <v/>
      </c>
      <c r="AQ24" s="57" t="str">
        <f t="shared" si="36"/>
        <v/>
      </c>
      <c r="AR24" s="57" t="str">
        <f t="shared" si="36"/>
        <v/>
      </c>
      <c r="AS24" s="57" t="str">
        <f t="shared" si="36"/>
        <v/>
      </c>
      <c r="AT24" s="57" t="str">
        <f t="shared" si="36"/>
        <v/>
      </c>
      <c r="AU24" s="57" t="str">
        <f t="shared" si="36"/>
        <v/>
      </c>
      <c r="AV24" s="57" t="str">
        <f t="shared" si="36"/>
        <v/>
      </c>
      <c r="AW24" s="57" t="str">
        <f t="shared" si="36"/>
        <v/>
      </c>
      <c r="AX24" s="57" t="str">
        <f t="shared" si="36"/>
        <v/>
      </c>
      <c r="AY24" s="57" t="str">
        <f t="shared" si="36"/>
        <v/>
      </c>
      <c r="AZ24" s="57" t="str">
        <f t="shared" si="36"/>
        <v/>
      </c>
      <c r="BA24" s="57" t="str">
        <f t="shared" si="36"/>
        <v/>
      </c>
    </row>
    <row r="25" spans="1:53" hidden="1">
      <c r="A25" s="7"/>
      <c r="B25" s="15" t="s">
        <v>28</v>
      </c>
      <c r="C25" s="15" t="s">
        <v>27</v>
      </c>
      <c r="D25" s="14" t="s">
        <v>26</v>
      </c>
      <c r="E25" s="14" t="s">
        <v>25</v>
      </c>
      <c r="F25" s="14" t="s">
        <v>24</v>
      </c>
      <c r="G25" s="12"/>
      <c r="H25" s="9"/>
      <c r="I25" s="9"/>
      <c r="J25" s="9"/>
      <c r="K25" s="9"/>
      <c r="L25" s="9"/>
      <c r="M25" s="9"/>
      <c r="N25" s="9"/>
      <c r="O25" s="9"/>
      <c r="P25" s="9"/>
      <c r="Q25" s="9"/>
      <c r="R25" s="8"/>
      <c r="S25" s="8"/>
      <c r="T25" s="7"/>
      <c r="U25" s="7"/>
      <c r="V25" s="7"/>
      <c r="W25" s="7"/>
      <c r="X25" s="7"/>
      <c r="Y25" s="7"/>
      <c r="Z25" s="7"/>
      <c r="AA25" s="7"/>
      <c r="AB25" s="7"/>
      <c r="AC25" s="7"/>
      <c r="AD25" s="7"/>
      <c r="AE25" s="7"/>
      <c r="AF25" s="7"/>
      <c r="AG25" s="7"/>
      <c r="AH25" s="7"/>
      <c r="AI25" s="7"/>
      <c r="AJ25" s="7"/>
      <c r="AK25" s="7"/>
      <c r="AL25" s="7"/>
      <c r="AM25" s="7"/>
      <c r="AN25" s="7"/>
      <c r="AO25" s="7"/>
      <c r="AP25" s="7"/>
    </row>
    <row r="26" spans="1:53" hidden="1">
      <c r="A26" s="7"/>
      <c r="B26" s="78" t="s">
        <v>23</v>
      </c>
      <c r="C26" s="81" t="s">
        <v>54</v>
      </c>
      <c r="D26" s="43" t="s">
        <v>22</v>
      </c>
      <c r="E26" s="47" t="s">
        <v>10</v>
      </c>
      <c r="F26" s="48"/>
      <c r="G26" s="12"/>
      <c r="H26" s="9"/>
      <c r="I26" s="9"/>
      <c r="J26" s="9"/>
      <c r="K26" s="9"/>
      <c r="L26" s="9"/>
      <c r="M26" s="9"/>
      <c r="N26" s="9"/>
      <c r="O26" s="9"/>
      <c r="P26" s="9"/>
      <c r="Q26" s="9"/>
      <c r="R26" s="8"/>
      <c r="S26" s="8"/>
      <c r="T26" s="7"/>
      <c r="U26" s="7"/>
      <c r="V26" s="7"/>
      <c r="W26" s="7"/>
      <c r="X26" s="7"/>
      <c r="Y26" s="7"/>
      <c r="Z26" s="7"/>
      <c r="AA26" s="7"/>
      <c r="AB26" s="7"/>
      <c r="AC26" s="7"/>
      <c r="AD26" s="7"/>
      <c r="AE26" s="7"/>
      <c r="AF26" s="7"/>
      <c r="AG26" s="7"/>
      <c r="AH26" s="7"/>
      <c r="AI26" s="7"/>
      <c r="AJ26" s="7"/>
      <c r="AK26" s="7"/>
      <c r="AL26" s="7"/>
      <c r="AM26" s="7"/>
      <c r="AN26" s="7"/>
      <c r="AO26" s="7"/>
      <c r="AP26" s="7"/>
    </row>
    <row r="27" spans="1:53" ht="25.5" hidden="1">
      <c r="A27" s="7"/>
      <c r="B27" s="79"/>
      <c r="C27" s="82"/>
      <c r="D27" s="43" t="s">
        <v>21</v>
      </c>
      <c r="E27" s="47" t="s">
        <v>10</v>
      </c>
      <c r="F27" s="48"/>
      <c r="G27" s="12"/>
      <c r="H27" s="9"/>
      <c r="I27" s="9"/>
      <c r="J27" s="9"/>
      <c r="K27" s="9"/>
      <c r="L27" s="9"/>
      <c r="M27" s="9"/>
      <c r="N27" s="9"/>
      <c r="O27" s="9"/>
      <c r="P27" s="9"/>
      <c r="Q27" s="9"/>
      <c r="R27" s="8"/>
      <c r="S27" s="8"/>
      <c r="T27" s="7"/>
      <c r="U27" s="7"/>
      <c r="V27" s="7" t="s">
        <v>123</v>
      </c>
      <c r="W27" s="7"/>
      <c r="X27" s="7"/>
      <c r="Y27" s="7"/>
      <c r="Z27" s="7"/>
      <c r="AA27" s="7"/>
      <c r="AB27" s="7"/>
      <c r="AC27" s="7"/>
      <c r="AD27" s="7"/>
      <c r="AE27" s="7"/>
      <c r="AF27" s="7"/>
      <c r="AG27" s="7"/>
      <c r="AH27" s="7"/>
      <c r="AI27" s="7"/>
      <c r="AJ27" s="7"/>
      <c r="AK27" s="7"/>
      <c r="AL27" s="7"/>
      <c r="AM27" s="7"/>
      <c r="AN27" s="7"/>
      <c r="AO27" s="7"/>
      <c r="AP27" s="7"/>
    </row>
    <row r="28" spans="1:53" hidden="1">
      <c r="A28" s="7"/>
      <c r="B28" s="79"/>
      <c r="C28" s="81" t="s">
        <v>20</v>
      </c>
      <c r="D28" s="43" t="s">
        <v>19</v>
      </c>
      <c r="E28" s="49"/>
      <c r="F28" s="48"/>
      <c r="G28" s="12"/>
      <c r="H28" s="9"/>
      <c r="I28" s="9"/>
      <c r="J28" s="9"/>
      <c r="K28" s="9"/>
      <c r="L28" s="9"/>
      <c r="M28" s="9"/>
      <c r="N28" s="9"/>
      <c r="O28" s="9"/>
      <c r="P28" s="9"/>
      <c r="Q28" s="9"/>
      <c r="R28" s="8"/>
      <c r="S28" s="8"/>
      <c r="T28" s="7"/>
      <c r="U28" s="7"/>
      <c r="V28" s="7"/>
      <c r="W28" s="7"/>
      <c r="X28" s="7"/>
      <c r="Y28" s="7"/>
      <c r="Z28" s="7"/>
      <c r="AA28" s="7"/>
      <c r="AB28" s="7"/>
      <c r="AC28" s="7"/>
      <c r="AD28" s="7"/>
      <c r="AE28" s="7"/>
      <c r="AF28" s="7"/>
      <c r="AG28" s="7"/>
      <c r="AH28" s="7"/>
      <c r="AI28" s="7"/>
      <c r="AJ28" s="7"/>
      <c r="AK28" s="7"/>
      <c r="AL28" s="7"/>
      <c r="AM28" s="7"/>
      <c r="AN28" s="7"/>
      <c r="AO28" s="7"/>
      <c r="AP28" s="7"/>
    </row>
    <row r="29" spans="1:53" ht="25.5" hidden="1">
      <c r="A29" s="7"/>
      <c r="B29" s="79"/>
      <c r="C29" s="83"/>
      <c r="D29" s="43" t="s">
        <v>18</v>
      </c>
      <c r="E29" s="47" t="s">
        <v>10</v>
      </c>
      <c r="F29" s="48"/>
      <c r="G29" s="12"/>
      <c r="H29" s="9"/>
      <c r="I29" s="9"/>
      <c r="J29" s="9"/>
      <c r="K29" s="9"/>
      <c r="L29" s="9"/>
      <c r="M29" s="9"/>
      <c r="N29" s="9"/>
      <c r="O29" s="9"/>
      <c r="P29" s="9"/>
      <c r="Q29" s="9"/>
      <c r="R29" s="8"/>
      <c r="S29" s="8"/>
      <c r="T29" s="7"/>
      <c r="U29" s="7"/>
      <c r="V29" s="7"/>
      <c r="W29" s="7"/>
      <c r="X29" s="7"/>
      <c r="Y29" s="7"/>
      <c r="Z29" s="7"/>
      <c r="AA29" s="7"/>
      <c r="AB29" s="7"/>
      <c r="AC29" s="7"/>
      <c r="AD29" s="7"/>
      <c r="AE29" s="7"/>
      <c r="AF29" s="7"/>
      <c r="AG29" s="7"/>
      <c r="AH29" s="7"/>
      <c r="AI29" s="7"/>
      <c r="AJ29" s="32"/>
      <c r="AK29" s="7"/>
      <c r="AL29" s="7"/>
      <c r="AM29" s="7"/>
      <c r="AN29" s="7"/>
      <c r="AO29" s="7"/>
      <c r="AP29" s="7"/>
    </row>
    <row r="30" spans="1:53" hidden="1">
      <c r="A30" s="7"/>
      <c r="B30" s="79"/>
      <c r="C30" s="83"/>
      <c r="D30" s="43" t="s">
        <v>17</v>
      </c>
      <c r="E30" s="49"/>
      <c r="F30" s="48"/>
      <c r="G30" s="12"/>
      <c r="H30" s="9"/>
      <c r="I30" s="9"/>
      <c r="J30" s="9"/>
      <c r="K30" s="9"/>
      <c r="L30" s="9"/>
      <c r="M30" s="9"/>
      <c r="N30" s="9"/>
      <c r="O30" s="9"/>
      <c r="P30" s="9"/>
      <c r="Q30" s="9"/>
      <c r="R30" s="8"/>
      <c r="S30" s="8"/>
      <c r="T30" s="7"/>
      <c r="U30" s="7"/>
      <c r="V30" s="7"/>
      <c r="W30" s="7"/>
      <c r="X30" s="7"/>
      <c r="Y30" s="7"/>
      <c r="Z30" s="7"/>
      <c r="AA30" s="7"/>
      <c r="AB30" s="7"/>
      <c r="AC30" s="7"/>
      <c r="AD30" s="7"/>
      <c r="AE30" s="7"/>
      <c r="AF30" s="7"/>
      <c r="AG30" s="7"/>
      <c r="AH30" s="7"/>
      <c r="AI30" s="7"/>
      <c r="AJ30" s="32"/>
      <c r="AK30" s="7"/>
      <c r="AL30" s="7"/>
      <c r="AM30" s="7"/>
      <c r="AN30" s="7"/>
      <c r="AO30" s="7"/>
      <c r="AP30" s="7"/>
    </row>
    <row r="31" spans="1:53" hidden="1">
      <c r="A31" s="7"/>
      <c r="B31" s="79"/>
      <c r="C31" s="83"/>
      <c r="D31" s="43" t="s">
        <v>16</v>
      </c>
      <c r="E31" s="49"/>
      <c r="F31" s="48"/>
      <c r="G31" s="12"/>
      <c r="H31" s="9"/>
      <c r="I31" s="9"/>
      <c r="J31" s="9"/>
      <c r="K31" s="9"/>
      <c r="L31" s="9"/>
      <c r="M31" s="9"/>
      <c r="N31" s="9"/>
      <c r="O31" s="9"/>
      <c r="P31" s="9"/>
      <c r="Q31" s="9"/>
      <c r="R31" s="8"/>
      <c r="S31" s="8"/>
      <c r="T31" s="7"/>
      <c r="U31" s="7"/>
      <c r="V31" s="7"/>
      <c r="W31" s="7"/>
      <c r="X31" s="7"/>
      <c r="Y31" s="7"/>
      <c r="Z31" s="7"/>
      <c r="AA31" s="7"/>
      <c r="AB31" s="7"/>
      <c r="AC31" s="7"/>
      <c r="AD31" s="7"/>
      <c r="AE31" s="7"/>
      <c r="AF31" s="7"/>
      <c r="AG31" s="7"/>
      <c r="AH31" s="7"/>
      <c r="AI31" s="7"/>
      <c r="AJ31" s="32"/>
      <c r="AK31" s="7"/>
      <c r="AL31" s="7"/>
      <c r="AM31" s="7"/>
      <c r="AN31" s="7"/>
      <c r="AO31" s="7"/>
      <c r="AP31" s="7"/>
    </row>
    <row r="32" spans="1:53" hidden="1">
      <c r="A32" s="7"/>
      <c r="B32" s="80"/>
      <c r="C32" s="82"/>
      <c r="D32" s="43" t="s">
        <v>15</v>
      </c>
      <c r="E32" s="49"/>
      <c r="F32" s="48"/>
      <c r="G32" s="12"/>
      <c r="H32" s="9"/>
      <c r="I32" s="9"/>
      <c r="J32" s="9"/>
      <c r="K32" s="9"/>
      <c r="L32" s="9"/>
      <c r="M32" s="9"/>
      <c r="N32" s="9"/>
      <c r="O32" s="9"/>
      <c r="P32" s="9"/>
      <c r="Q32" s="9"/>
      <c r="R32" s="8"/>
      <c r="S32" s="8"/>
      <c r="T32" s="7"/>
      <c r="U32" s="7"/>
      <c r="V32" s="7"/>
      <c r="W32" s="7"/>
      <c r="X32" s="7"/>
      <c r="Y32" s="7"/>
      <c r="Z32" s="7"/>
      <c r="AA32" s="7"/>
      <c r="AB32" s="7"/>
      <c r="AC32" s="7"/>
      <c r="AD32" s="7"/>
      <c r="AE32" s="7"/>
      <c r="AF32" s="7"/>
      <c r="AG32" s="7"/>
      <c r="AH32" s="7"/>
      <c r="AI32" s="7"/>
      <c r="AJ32" s="7"/>
      <c r="AK32" s="7"/>
      <c r="AL32" s="7"/>
      <c r="AM32" s="7"/>
      <c r="AN32" s="7"/>
      <c r="AO32" s="7"/>
      <c r="AP32" s="7"/>
    </row>
    <row r="33" spans="1:42" hidden="1">
      <c r="A33" s="7"/>
      <c r="B33" s="84" t="s">
        <v>14</v>
      </c>
      <c r="C33" s="84" t="s">
        <v>13</v>
      </c>
      <c r="D33" s="43" t="s">
        <v>12</v>
      </c>
      <c r="E33" s="47" t="s">
        <v>10</v>
      </c>
      <c r="F33" s="48"/>
      <c r="G33" s="12"/>
      <c r="H33" s="9"/>
      <c r="I33" s="9"/>
      <c r="J33" s="9"/>
      <c r="K33" s="9"/>
      <c r="L33" s="9"/>
      <c r="M33" s="9"/>
      <c r="N33" s="9"/>
      <c r="O33" s="9"/>
      <c r="P33" s="9"/>
      <c r="Q33" s="9"/>
      <c r="R33" s="8"/>
      <c r="S33" s="8"/>
      <c r="T33" s="7"/>
      <c r="U33" s="7"/>
      <c r="V33" s="7"/>
      <c r="W33" s="7"/>
      <c r="X33" s="7"/>
      <c r="Y33" s="7"/>
      <c r="Z33" s="7"/>
      <c r="AA33" s="7"/>
      <c r="AB33" s="7"/>
      <c r="AC33" s="7"/>
      <c r="AD33" s="7"/>
      <c r="AE33" s="7"/>
      <c r="AF33" s="7"/>
      <c r="AG33" s="7"/>
      <c r="AH33" s="7"/>
      <c r="AI33" s="7"/>
      <c r="AJ33" s="7"/>
      <c r="AK33" s="7"/>
      <c r="AL33" s="7"/>
      <c r="AM33" s="7"/>
      <c r="AN33" s="7"/>
      <c r="AO33" s="7"/>
      <c r="AP33" s="7"/>
    </row>
    <row r="34" spans="1:42" hidden="1">
      <c r="A34" s="7"/>
      <c r="B34" s="85"/>
      <c r="C34" s="84"/>
      <c r="D34" s="43" t="s">
        <v>11</v>
      </c>
      <c r="E34" s="47" t="s">
        <v>10</v>
      </c>
      <c r="F34" s="48"/>
      <c r="G34" s="12"/>
      <c r="H34" s="9"/>
      <c r="I34" s="9"/>
      <c r="J34" s="9"/>
      <c r="K34" s="9"/>
      <c r="L34" s="9"/>
      <c r="M34" s="9"/>
      <c r="N34" s="9"/>
      <c r="O34" s="9"/>
      <c r="P34" s="9"/>
      <c r="Q34" s="9"/>
      <c r="R34" s="8"/>
      <c r="S34" s="8"/>
      <c r="T34" s="7"/>
      <c r="U34" s="7"/>
      <c r="V34" s="7"/>
      <c r="W34" s="7"/>
      <c r="X34" s="7"/>
      <c r="Y34" s="7"/>
      <c r="Z34" s="7"/>
      <c r="AA34" s="7"/>
      <c r="AB34" s="7"/>
      <c r="AC34" s="7"/>
      <c r="AD34" s="7"/>
      <c r="AE34" s="7"/>
      <c r="AF34" s="7"/>
      <c r="AG34" s="7"/>
      <c r="AH34" s="7"/>
      <c r="AI34" s="7"/>
      <c r="AJ34" s="7"/>
      <c r="AK34" s="7"/>
      <c r="AL34" s="7"/>
      <c r="AM34" s="7"/>
      <c r="AN34" s="7"/>
      <c r="AO34" s="7"/>
      <c r="AP34" s="7"/>
    </row>
    <row r="35" spans="1:42" hidden="1">
      <c r="A35" s="7"/>
      <c r="B35" s="85"/>
      <c r="C35" s="84" t="s">
        <v>9</v>
      </c>
      <c r="D35" s="43" t="s">
        <v>8</v>
      </c>
      <c r="E35" s="49"/>
      <c r="F35" s="48"/>
      <c r="G35" s="12"/>
      <c r="H35" s="9"/>
      <c r="I35" s="9"/>
      <c r="J35" s="9"/>
      <c r="K35" s="9"/>
      <c r="L35" s="9"/>
      <c r="M35" s="9"/>
      <c r="N35" s="9"/>
      <c r="O35" s="9"/>
      <c r="P35" s="9"/>
      <c r="Q35" s="9"/>
      <c r="R35" s="8"/>
      <c r="S35" s="8"/>
      <c r="T35" s="7"/>
      <c r="U35" s="7"/>
      <c r="V35" s="7"/>
      <c r="W35" s="7"/>
      <c r="X35" s="7"/>
      <c r="Y35" s="7"/>
      <c r="Z35" s="7"/>
      <c r="AA35" s="7"/>
      <c r="AB35" s="7"/>
      <c r="AC35" s="7"/>
      <c r="AD35" s="7"/>
      <c r="AE35" s="7"/>
      <c r="AF35" s="7"/>
      <c r="AG35" s="7"/>
      <c r="AH35" s="7"/>
      <c r="AI35" s="7"/>
      <c r="AJ35" s="7"/>
      <c r="AK35" s="7"/>
      <c r="AL35" s="7"/>
      <c r="AM35" s="7"/>
      <c r="AN35" s="7"/>
      <c r="AO35" s="7"/>
      <c r="AP35" s="7"/>
    </row>
    <row r="36" spans="1:42" ht="25.5" hidden="1">
      <c r="A36" s="7"/>
      <c r="B36" s="85"/>
      <c r="C36" s="84"/>
      <c r="D36" s="43" t="s">
        <v>7</v>
      </c>
      <c r="E36" s="49"/>
      <c r="F36" s="48"/>
      <c r="G36" s="12"/>
      <c r="H36" s="9"/>
      <c r="I36" s="9"/>
      <c r="J36" s="9"/>
      <c r="K36" s="9"/>
      <c r="L36" s="9"/>
      <c r="M36" s="9"/>
      <c r="N36" s="9"/>
      <c r="O36" s="9"/>
      <c r="P36" s="9"/>
      <c r="Q36" s="9"/>
      <c r="R36" s="8"/>
      <c r="S36" s="8"/>
      <c r="T36" s="7"/>
      <c r="U36" s="7"/>
      <c r="V36" s="7"/>
      <c r="W36" s="7"/>
      <c r="X36" s="7"/>
      <c r="Y36" s="7"/>
      <c r="Z36" s="7"/>
      <c r="AA36" s="7"/>
      <c r="AB36" s="7"/>
      <c r="AC36" s="7"/>
      <c r="AD36" s="7"/>
      <c r="AE36" s="7"/>
      <c r="AF36" s="7"/>
      <c r="AG36" s="7"/>
      <c r="AH36" s="7"/>
      <c r="AI36" s="7"/>
      <c r="AJ36" s="7"/>
      <c r="AK36" s="7"/>
      <c r="AL36" s="7"/>
      <c r="AM36" s="7"/>
      <c r="AN36" s="7"/>
      <c r="AO36" s="7"/>
      <c r="AP36" s="7"/>
    </row>
    <row r="37" spans="1:42">
      <c r="A37" s="7"/>
      <c r="B37" s="7"/>
      <c r="C37" s="7"/>
      <c r="D37" s="8"/>
      <c r="E37" s="8"/>
      <c r="F37" s="8"/>
      <c r="G37" s="9"/>
      <c r="H37" s="9"/>
      <c r="I37" s="9"/>
      <c r="J37" s="9"/>
      <c r="K37" s="9"/>
      <c r="L37" s="9"/>
      <c r="M37" s="9"/>
      <c r="N37" s="9"/>
      <c r="O37" s="9"/>
      <c r="P37" s="9"/>
      <c r="Q37" s="9"/>
      <c r="R37" s="9"/>
      <c r="S37" s="8"/>
      <c r="T37" s="7"/>
      <c r="U37" s="7"/>
      <c r="V37" s="7"/>
      <c r="W37" s="7"/>
      <c r="X37" s="7"/>
      <c r="Y37" s="7"/>
      <c r="Z37" s="7"/>
      <c r="AA37" s="7"/>
      <c r="AB37" s="7"/>
      <c r="AC37" s="7"/>
      <c r="AD37" s="7"/>
      <c r="AE37" s="7"/>
      <c r="AF37" s="7"/>
      <c r="AG37" s="7"/>
      <c r="AH37" s="7"/>
      <c r="AI37" s="7"/>
      <c r="AJ37" s="7"/>
      <c r="AK37" s="7"/>
      <c r="AL37" s="7"/>
      <c r="AM37" s="7"/>
      <c r="AN37" s="7"/>
      <c r="AO37" s="7"/>
      <c r="AP37" s="7"/>
    </row>
    <row r="38" spans="1:42" ht="18">
      <c r="A38" s="7"/>
      <c r="B38" s="11" t="s">
        <v>6</v>
      </c>
      <c r="C38" s="7"/>
      <c r="D38" s="8"/>
      <c r="E38" s="8"/>
      <c r="F38" s="8"/>
      <c r="G38" s="9"/>
      <c r="H38" s="9"/>
      <c r="I38" s="9"/>
      <c r="J38" s="9"/>
      <c r="K38" s="9"/>
      <c r="L38" s="9"/>
      <c r="M38" s="9"/>
      <c r="N38" s="9"/>
      <c r="O38" s="9"/>
      <c r="P38" s="9"/>
      <c r="Q38" s="9"/>
      <c r="R38" s="8"/>
      <c r="S38" s="8"/>
      <c r="T38" s="7"/>
      <c r="U38" s="7"/>
      <c r="V38" s="7"/>
      <c r="W38" s="7"/>
      <c r="X38" s="7"/>
      <c r="Y38" s="7"/>
      <c r="Z38" s="7"/>
      <c r="AA38" s="7"/>
      <c r="AB38" s="7"/>
      <c r="AC38" s="7"/>
      <c r="AD38" s="7"/>
      <c r="AE38" s="7"/>
      <c r="AF38" s="7"/>
      <c r="AG38" s="7"/>
      <c r="AH38" s="7"/>
      <c r="AI38" s="7"/>
      <c r="AJ38" s="7"/>
      <c r="AK38" s="7"/>
      <c r="AL38" s="7"/>
      <c r="AM38" s="7"/>
      <c r="AN38" s="7"/>
      <c r="AO38" s="7"/>
      <c r="AP38" s="7"/>
    </row>
    <row r="39" spans="1:42" ht="48.75" customHeight="1">
      <c r="A39" s="7"/>
      <c r="B39" s="10" t="s">
        <v>5</v>
      </c>
      <c r="C39" s="10" t="s">
        <v>4</v>
      </c>
      <c r="D39" s="10" t="s">
        <v>3</v>
      </c>
      <c r="E39" s="33" t="s">
        <v>43</v>
      </c>
      <c r="F39" s="33" t="s">
        <v>44</v>
      </c>
      <c r="G39" s="33" t="s">
        <v>2</v>
      </c>
      <c r="H39" s="33" t="s">
        <v>1</v>
      </c>
      <c r="I39" s="10" t="s">
        <v>48</v>
      </c>
      <c r="J39" s="10" t="s">
        <v>49</v>
      </c>
      <c r="K39" s="33" t="s">
        <v>39</v>
      </c>
      <c r="L39" s="34">
        <f>C13</f>
        <v>41785</v>
      </c>
      <c r="M39" s="34">
        <f>IF(LEN(TRIM(L$39)) &lt;&gt; 0, IF(L$39+1 &lt;= $C$14, L$39+1, ""),"")</f>
        <v>41786</v>
      </c>
      <c r="N39" s="34">
        <f>IF(LEN(TRIM(M$39)) &lt;&gt; 0, IF(M$39+1 &lt;= $C$14, M$39+1, ""),"")</f>
        <v>41787</v>
      </c>
      <c r="O39" s="34">
        <f t="shared" ref="O39:T39" si="37">IF(LEN(TRIM(N$39)) &lt;&gt; 0, IF(N$39+1 &lt;= $C$14, N$39+1, ""),"")</f>
        <v>41788</v>
      </c>
      <c r="P39" s="34">
        <f t="shared" si="37"/>
        <v>41789</v>
      </c>
      <c r="Q39" s="34">
        <f t="shared" si="37"/>
        <v>41790</v>
      </c>
      <c r="R39" s="34">
        <f t="shared" si="37"/>
        <v>41791</v>
      </c>
      <c r="S39" s="34">
        <f t="shared" si="37"/>
        <v>41792</v>
      </c>
      <c r="T39" s="34">
        <f t="shared" si="37"/>
        <v>41793</v>
      </c>
      <c r="U39" s="34">
        <f t="shared" ref="U39" si="38">IF(LEN(TRIM(T$39)) &lt;&gt; 0, IF(T$39+1 &lt;= $C$14, T$39+1, ""),"")</f>
        <v>41794</v>
      </c>
      <c r="V39" s="34">
        <f t="shared" ref="V39" si="39">IF(LEN(TRIM(U$39)) &lt;&gt; 0, IF(U$39+1 &lt;= $C$14, U$39+1, ""),"")</f>
        <v>41795</v>
      </c>
      <c r="W39" s="34">
        <f t="shared" ref="W39" si="40">IF(LEN(TRIM(V$39)) &lt;&gt; 0, IF(V$39+1 &lt;= $C$14, V$39+1, ""),"")</f>
        <v>41796</v>
      </c>
      <c r="X39" s="34" t="str">
        <f t="shared" ref="X39" si="41">IF(LEN(TRIM(W$39)) &lt;&gt; 0, IF(W$39+1 &lt;= $C$14, W$39+1, ""),"")</f>
        <v/>
      </c>
      <c r="Y39" s="34" t="str">
        <f t="shared" ref="Y39" si="42">IF(LEN(TRIM(X$39)) &lt;&gt; 0, IF(X$39+1 &lt;= $C$14, X$39+1, ""),"")</f>
        <v/>
      </c>
      <c r="Z39" s="34" t="str">
        <f t="shared" ref="Z39" si="43">IF(LEN(TRIM(Y$39)) &lt;&gt; 0, IF(Y$39+1 &lt;= $C$14, Y$39+1, ""),"")</f>
        <v/>
      </c>
      <c r="AA39" s="34" t="str">
        <f t="shared" ref="AA39" si="44">IF(LEN(TRIM(Z$39)) &lt;&gt; 0, IF(Z$39+1 &lt;= $C$14, Z$39+1, ""),"")</f>
        <v/>
      </c>
      <c r="AB39" s="34" t="str">
        <f t="shared" ref="AB39" si="45">IF(LEN(TRIM(AA$39)) &lt;&gt; 0, IF(AA$39+1 &lt;= $C$14, AA$39+1, ""),"")</f>
        <v/>
      </c>
      <c r="AC39" s="34" t="str">
        <f t="shared" ref="AC39" si="46">IF(LEN(TRIM(AB$39)) &lt;&gt; 0, IF(AB$39+1 &lt;= $C$14, AB$39+1, ""),"")</f>
        <v/>
      </c>
      <c r="AD39" s="34" t="str">
        <f t="shared" ref="AD39" si="47">IF(LEN(TRIM(AC$39)) &lt;&gt; 0, IF(AC$39+1 &lt;= $C$14, AC$39+1, ""),"")</f>
        <v/>
      </c>
      <c r="AE39" s="34" t="str">
        <f t="shared" ref="AE39" si="48">IF(LEN(TRIM(AD$39)) &lt;&gt; 0, IF(AD$39+1 &lt;= $C$14, AD$39+1, ""),"")</f>
        <v/>
      </c>
      <c r="AF39" s="34" t="str">
        <f t="shared" ref="AF39" si="49">IF(LEN(TRIM(AE$39)) &lt;&gt; 0, IF(AE$39+1 &lt;= $C$14, AE$39+1, ""),"")</f>
        <v/>
      </c>
      <c r="AG39" s="34" t="str">
        <f t="shared" ref="AG39" si="50">IF(LEN(TRIM(AF$39)) &lt;&gt; 0, IF(AF$39+1 &lt;= $C$14, AF$39+1, ""),"")</f>
        <v/>
      </c>
      <c r="AH39" s="34" t="str">
        <f t="shared" ref="AH39" si="51">IF(LEN(TRIM(AG$39)) &lt;&gt; 0, IF(AG$39+1 &lt;= $C$14, AG$39+1, ""),"")</f>
        <v/>
      </c>
      <c r="AI39" s="34" t="str">
        <f t="shared" ref="AI39" si="52">IF(LEN(TRIM(AH$39)) &lt;&gt; 0, IF(AH$39+1 &lt;= $C$14, AH$39+1, ""),"")</f>
        <v/>
      </c>
      <c r="AJ39" s="34" t="str">
        <f t="shared" ref="AJ39" si="53">IF(LEN(TRIM(AI$39)) &lt;&gt; 0, IF(AI$39+1 &lt;= $C$14, AI$39+1, ""),"")</f>
        <v/>
      </c>
      <c r="AK39" s="34" t="str">
        <f t="shared" ref="AK39" si="54">IF(LEN(TRIM(AJ$39)) &lt;&gt; 0, IF(AJ$39+1 &lt;= $C$14, AJ$39+1, ""),"")</f>
        <v/>
      </c>
      <c r="AL39" s="34" t="str">
        <f t="shared" ref="AL39" si="55">IF(LEN(TRIM(AK$39)) &lt;&gt; 0, IF(AK$39+1 &lt;= $C$14, AK$39+1, ""),"")</f>
        <v/>
      </c>
      <c r="AM39" s="34" t="str">
        <f t="shared" ref="AM39" si="56">IF(LEN(TRIM(AL$39)) &lt;&gt; 0, IF(AL$39+1 &lt;= $C$14, AL$39+1, ""),"")</f>
        <v/>
      </c>
      <c r="AN39" s="34" t="str">
        <f t="shared" ref="AN39" si="57">IF(LEN(TRIM(AM$39)) &lt;&gt; 0, IF(AM$39+1 &lt;= $C$14, AM$39+1, ""),"")</f>
        <v/>
      </c>
      <c r="AO39" s="34" t="str">
        <f t="shared" ref="AO39" si="58">IF(LEN(TRIM(AN$39)) &lt;&gt; 0, IF(AN$39+1 &lt;= $C$14, AN$39+1, ""),"")</f>
        <v/>
      </c>
      <c r="AP39" s="34" t="str">
        <f t="shared" ref="AP39" si="59">IF(LEN(TRIM(AO$39)) &lt;&gt; 0, IF(AO$39+1 &lt;= $C$14, AO$39+1, ""),"")</f>
        <v/>
      </c>
    </row>
    <row r="40" spans="1:42" s="3" customFormat="1">
      <c r="B40" s="5"/>
      <c r="C40" s="53" t="str">
        <f>IF(LEN(TRIM(D40))&lt;&gt;0, "T"&amp;TEXT(ROW()-39,"00"),"")</f>
        <v>T01</v>
      </c>
      <c r="D40" s="5" t="s">
        <v>124</v>
      </c>
      <c r="E40" s="13"/>
      <c r="F40" s="13"/>
      <c r="G40" s="5" t="s">
        <v>116</v>
      </c>
      <c r="H40" s="5" t="s">
        <v>120</v>
      </c>
      <c r="I40" s="4">
        <v>20</v>
      </c>
      <c r="J40" s="51">
        <f t="shared" ref="J40:J100" si="60">SUM(L40:AP40)</f>
        <v>17</v>
      </c>
      <c r="K40" s="4"/>
      <c r="L40" s="4">
        <v>5</v>
      </c>
      <c r="M40" s="4">
        <v>5</v>
      </c>
      <c r="N40" s="4">
        <v>5</v>
      </c>
      <c r="O40" s="4">
        <v>2</v>
      </c>
      <c r="P40" s="4"/>
      <c r="Q40" s="13"/>
      <c r="R40" s="26"/>
      <c r="S40" s="26"/>
      <c r="T40" s="28"/>
      <c r="U40" s="28"/>
      <c r="V40" s="28"/>
      <c r="W40" s="28"/>
      <c r="X40" s="28"/>
      <c r="Y40" s="28"/>
      <c r="Z40" s="28"/>
      <c r="AA40" s="28"/>
      <c r="AB40" s="28"/>
      <c r="AC40" s="28"/>
      <c r="AD40" s="28"/>
      <c r="AE40" s="28"/>
      <c r="AF40" s="28"/>
      <c r="AG40" s="28"/>
      <c r="AH40" s="28"/>
      <c r="AI40" s="28"/>
      <c r="AJ40" s="28"/>
      <c r="AK40" s="13"/>
      <c r="AL40" s="13"/>
      <c r="AM40" s="13"/>
      <c r="AN40" s="13"/>
      <c r="AO40" s="13"/>
      <c r="AP40" s="13"/>
    </row>
    <row r="41" spans="1:42" s="3" customFormat="1">
      <c r="B41" s="5"/>
      <c r="C41" s="53" t="str">
        <f>IF(LEN(TRIM(D41))&lt;&gt;0, "T"&amp;TEXT(ROW()-39,"00"),"")</f>
        <v>T02</v>
      </c>
      <c r="D41" s="5" t="s">
        <v>124</v>
      </c>
      <c r="E41" s="13"/>
      <c r="F41" s="13"/>
      <c r="G41" s="5" t="s">
        <v>117</v>
      </c>
      <c r="H41" s="5" t="s">
        <v>40</v>
      </c>
      <c r="I41" s="4">
        <v>20</v>
      </c>
      <c r="J41" s="51">
        <f t="shared" si="60"/>
        <v>17</v>
      </c>
      <c r="K41" s="4"/>
      <c r="L41" s="4">
        <v>5</v>
      </c>
      <c r="M41" s="4">
        <v>5</v>
      </c>
      <c r="N41" s="4">
        <v>5</v>
      </c>
      <c r="O41" s="4">
        <v>2</v>
      </c>
      <c r="P41" s="4"/>
      <c r="Q41" s="13"/>
      <c r="R41" s="26"/>
      <c r="S41" s="26"/>
      <c r="T41" s="28"/>
      <c r="U41" s="28"/>
      <c r="V41" s="28"/>
      <c r="W41" s="28"/>
      <c r="X41" s="28"/>
      <c r="Y41" s="28"/>
      <c r="Z41" s="28"/>
      <c r="AA41" s="28"/>
      <c r="AB41" s="28"/>
      <c r="AC41" s="28"/>
      <c r="AD41" s="28"/>
      <c r="AE41" s="28"/>
      <c r="AF41" s="28"/>
      <c r="AG41" s="28"/>
      <c r="AH41" s="28"/>
      <c r="AI41" s="28"/>
      <c r="AJ41" s="28"/>
      <c r="AK41" s="13"/>
      <c r="AL41" s="13"/>
      <c r="AM41" s="13"/>
      <c r="AN41" s="13"/>
      <c r="AO41" s="13"/>
      <c r="AP41" s="13"/>
    </row>
    <row r="42" spans="1:42" s="3" customFormat="1">
      <c r="B42" s="5"/>
      <c r="C42" s="53" t="str">
        <f>IF(LEN(TRIM(D42))&lt;&gt;0, "T"&amp;TEXT(ROW()-39,"00"),"")</f>
        <v>T03</v>
      </c>
      <c r="D42" s="5" t="s">
        <v>125</v>
      </c>
      <c r="E42" s="13"/>
      <c r="F42" s="13"/>
      <c r="G42" s="5" t="s">
        <v>42</v>
      </c>
      <c r="H42" s="5" t="s">
        <v>120</v>
      </c>
      <c r="I42" s="4">
        <v>20</v>
      </c>
      <c r="J42" s="51">
        <f t="shared" si="60"/>
        <v>17</v>
      </c>
      <c r="K42" s="4"/>
      <c r="L42" s="4">
        <v>5</v>
      </c>
      <c r="M42" s="4">
        <v>5</v>
      </c>
      <c r="N42" s="4">
        <v>5</v>
      </c>
      <c r="O42" s="4">
        <v>2</v>
      </c>
      <c r="P42" s="4"/>
      <c r="Q42" s="13"/>
      <c r="R42" s="26"/>
      <c r="S42" s="26"/>
      <c r="T42" s="28"/>
      <c r="U42" s="28"/>
      <c r="V42" s="28"/>
      <c r="W42" s="28"/>
      <c r="X42" s="28"/>
      <c r="Y42" s="28"/>
      <c r="Z42" s="28"/>
      <c r="AA42" s="28"/>
      <c r="AB42" s="28"/>
      <c r="AC42" s="28"/>
      <c r="AD42" s="28"/>
      <c r="AE42" s="28"/>
      <c r="AF42" s="28"/>
      <c r="AG42" s="28"/>
      <c r="AH42" s="28"/>
      <c r="AI42" s="28"/>
      <c r="AJ42" s="28"/>
      <c r="AK42" s="13"/>
      <c r="AL42" s="13"/>
      <c r="AM42" s="13"/>
      <c r="AN42" s="13"/>
      <c r="AO42" s="13"/>
      <c r="AP42" s="13"/>
    </row>
    <row r="43" spans="1:42" s="3" customFormat="1">
      <c r="B43" s="5"/>
      <c r="C43" s="53" t="str">
        <f t="shared" ref="C43:C100" si="61">IF(LEN(TRIM(D43))&lt;&gt;0, "T"&amp;TEXT(ROW()-39,"00"),"")</f>
        <v>T04</v>
      </c>
      <c r="D43" s="5" t="s">
        <v>126</v>
      </c>
      <c r="E43" s="13"/>
      <c r="F43" s="13"/>
      <c r="G43" s="5"/>
      <c r="H43" s="5"/>
      <c r="I43" s="4"/>
      <c r="J43" s="51">
        <f t="shared" si="60"/>
        <v>0</v>
      </c>
      <c r="K43" s="4"/>
      <c r="L43" s="4"/>
      <c r="M43" s="4"/>
      <c r="N43" s="4"/>
      <c r="O43" s="4"/>
      <c r="P43" s="4"/>
      <c r="Q43" s="13"/>
      <c r="R43" s="26"/>
      <c r="S43" s="26"/>
      <c r="T43" s="28"/>
      <c r="U43" s="28"/>
      <c r="V43" s="28"/>
      <c r="W43" s="28"/>
      <c r="X43" s="28"/>
      <c r="Y43" s="28"/>
      <c r="Z43" s="28"/>
      <c r="AA43" s="28"/>
      <c r="AB43" s="28"/>
      <c r="AC43" s="28"/>
      <c r="AD43" s="28"/>
      <c r="AE43" s="28"/>
      <c r="AF43" s="28"/>
      <c r="AG43" s="28"/>
      <c r="AH43" s="28"/>
      <c r="AI43" s="28"/>
      <c r="AJ43" s="28"/>
      <c r="AK43" s="13"/>
      <c r="AL43" s="13"/>
      <c r="AM43" s="13"/>
      <c r="AN43" s="13"/>
      <c r="AO43" s="13"/>
      <c r="AP43" s="13"/>
    </row>
    <row r="44" spans="1:42" s="3" customFormat="1" ht="26.25" customHeight="1">
      <c r="B44" s="5"/>
      <c r="C44" s="53" t="str">
        <f t="shared" si="61"/>
        <v>T05</v>
      </c>
      <c r="D44" s="5" t="s">
        <v>127</v>
      </c>
      <c r="E44" s="13"/>
      <c r="F44" s="13"/>
      <c r="G44" s="5"/>
      <c r="H44" s="5"/>
      <c r="I44" s="4"/>
      <c r="J44" s="51">
        <f t="shared" si="60"/>
        <v>0</v>
      </c>
      <c r="K44" s="4"/>
      <c r="L44" s="4"/>
      <c r="M44" s="4"/>
      <c r="N44" s="4"/>
      <c r="O44" s="4"/>
      <c r="P44" s="4"/>
      <c r="Q44" s="13"/>
      <c r="R44" s="26"/>
      <c r="S44" s="26"/>
      <c r="T44" s="28"/>
      <c r="U44" s="28"/>
      <c r="V44" s="28"/>
      <c r="W44" s="28"/>
      <c r="X44" s="28"/>
      <c r="Y44" s="28"/>
      <c r="Z44" s="28"/>
      <c r="AA44" s="28"/>
      <c r="AB44" s="28"/>
      <c r="AC44" s="28"/>
      <c r="AD44" s="28"/>
      <c r="AE44" s="28"/>
      <c r="AF44" s="28"/>
      <c r="AG44" s="28"/>
      <c r="AH44" s="28"/>
      <c r="AI44" s="28"/>
      <c r="AJ44" s="28"/>
      <c r="AK44" s="13"/>
      <c r="AL44" s="13"/>
      <c r="AM44" s="13"/>
      <c r="AN44" s="13"/>
      <c r="AO44" s="13"/>
      <c r="AP44" s="13"/>
    </row>
    <row r="45" spans="1:42" s="3" customFormat="1" ht="26.25" customHeight="1">
      <c r="B45" s="5"/>
      <c r="C45" s="53" t="str">
        <f t="shared" si="61"/>
        <v/>
      </c>
      <c r="D45" s="5"/>
      <c r="E45" s="13"/>
      <c r="F45" s="13"/>
      <c r="G45" s="5"/>
      <c r="H45" s="5"/>
      <c r="I45" s="4"/>
      <c r="J45" s="51">
        <f t="shared" si="60"/>
        <v>0</v>
      </c>
      <c r="K45" s="4"/>
      <c r="L45" s="4"/>
      <c r="M45" s="4"/>
      <c r="N45" s="4"/>
      <c r="O45" s="4"/>
      <c r="P45" s="4"/>
      <c r="Q45" s="13"/>
      <c r="R45" s="26"/>
      <c r="S45" s="26"/>
      <c r="T45" s="28"/>
      <c r="U45" s="28"/>
      <c r="V45" s="28"/>
      <c r="W45" s="28"/>
      <c r="X45" s="28"/>
      <c r="Y45" s="28"/>
      <c r="Z45" s="28"/>
      <c r="AA45" s="28"/>
      <c r="AB45" s="28"/>
      <c r="AC45" s="28"/>
      <c r="AD45" s="28"/>
      <c r="AE45" s="28"/>
      <c r="AF45" s="28"/>
      <c r="AG45" s="28"/>
      <c r="AH45" s="28"/>
      <c r="AI45" s="28"/>
      <c r="AJ45" s="28"/>
      <c r="AK45" s="13"/>
      <c r="AL45" s="13"/>
      <c r="AM45" s="13"/>
      <c r="AN45" s="13"/>
      <c r="AO45" s="13"/>
      <c r="AP45" s="13"/>
    </row>
    <row r="46" spans="1:42" s="3" customFormat="1" ht="26.25" customHeight="1">
      <c r="B46" s="5"/>
      <c r="C46" s="53" t="str">
        <f t="shared" si="61"/>
        <v/>
      </c>
      <c r="D46" s="5"/>
      <c r="E46" s="13"/>
      <c r="F46" s="13"/>
      <c r="G46" s="5"/>
      <c r="H46" s="5"/>
      <c r="I46" s="4"/>
      <c r="J46" s="51">
        <f t="shared" si="60"/>
        <v>0</v>
      </c>
      <c r="K46" s="4"/>
      <c r="L46" s="4"/>
      <c r="M46" s="4"/>
      <c r="N46" s="4"/>
      <c r="O46" s="4"/>
      <c r="P46" s="4"/>
      <c r="Q46" s="13"/>
      <c r="R46" s="26"/>
      <c r="S46" s="26"/>
      <c r="T46" s="28"/>
      <c r="U46" s="28"/>
      <c r="V46" s="28"/>
      <c r="W46" s="28"/>
      <c r="X46" s="28"/>
      <c r="Y46" s="28"/>
      <c r="Z46" s="28"/>
      <c r="AA46" s="28"/>
      <c r="AB46" s="28"/>
      <c r="AC46" s="28"/>
      <c r="AD46" s="28"/>
      <c r="AE46" s="28"/>
      <c r="AF46" s="28"/>
      <c r="AG46" s="28"/>
      <c r="AH46" s="28"/>
      <c r="AI46" s="28"/>
      <c r="AJ46" s="28"/>
      <c r="AK46" s="13"/>
      <c r="AL46" s="13"/>
      <c r="AM46" s="13"/>
      <c r="AN46" s="13"/>
      <c r="AO46" s="13"/>
      <c r="AP46" s="13"/>
    </row>
    <row r="47" spans="1:42" s="3" customFormat="1">
      <c r="B47" s="5"/>
      <c r="C47" s="53" t="str">
        <f t="shared" si="61"/>
        <v/>
      </c>
      <c r="D47" s="5"/>
      <c r="E47" s="13"/>
      <c r="F47" s="13"/>
      <c r="G47" s="5"/>
      <c r="H47" s="5"/>
      <c r="I47" s="4"/>
      <c r="J47" s="51">
        <f t="shared" si="60"/>
        <v>0</v>
      </c>
      <c r="K47" s="4"/>
      <c r="L47" s="4"/>
      <c r="M47" s="4"/>
      <c r="N47" s="4"/>
      <c r="O47" s="4"/>
      <c r="P47" s="4"/>
      <c r="Q47" s="13"/>
      <c r="R47" s="26"/>
      <c r="S47" s="26"/>
      <c r="T47" s="28"/>
      <c r="U47" s="28"/>
      <c r="V47" s="28"/>
      <c r="W47" s="28"/>
      <c r="X47" s="28"/>
      <c r="Y47" s="28"/>
      <c r="Z47" s="28"/>
      <c r="AA47" s="28"/>
      <c r="AB47" s="28"/>
      <c r="AC47" s="28"/>
      <c r="AD47" s="28"/>
      <c r="AE47" s="28"/>
      <c r="AF47" s="28"/>
      <c r="AG47" s="28"/>
      <c r="AH47" s="28"/>
      <c r="AI47" s="28"/>
      <c r="AJ47" s="28"/>
      <c r="AK47" s="13"/>
      <c r="AL47" s="13"/>
      <c r="AM47" s="13"/>
      <c r="AN47" s="13"/>
      <c r="AO47" s="13"/>
      <c r="AP47" s="13"/>
    </row>
    <row r="48" spans="1:42" s="3" customFormat="1">
      <c r="B48" s="5"/>
      <c r="C48" s="53" t="str">
        <f t="shared" si="61"/>
        <v/>
      </c>
      <c r="D48" s="5"/>
      <c r="E48" s="13"/>
      <c r="F48" s="13"/>
      <c r="G48" s="5"/>
      <c r="H48" s="5"/>
      <c r="I48" s="4"/>
      <c r="J48" s="51">
        <f t="shared" si="60"/>
        <v>0</v>
      </c>
      <c r="K48" s="4"/>
      <c r="L48" s="4"/>
      <c r="M48" s="4"/>
      <c r="N48" s="4"/>
      <c r="O48" s="4"/>
      <c r="P48" s="4"/>
      <c r="Q48" s="13"/>
      <c r="R48" s="26"/>
      <c r="S48" s="26"/>
      <c r="T48" s="28"/>
      <c r="U48" s="28"/>
      <c r="V48" s="28"/>
      <c r="W48" s="28"/>
      <c r="X48" s="28"/>
      <c r="Y48" s="28"/>
      <c r="Z48" s="28"/>
      <c r="AA48" s="28"/>
      <c r="AB48" s="28"/>
      <c r="AC48" s="28"/>
      <c r="AD48" s="28"/>
      <c r="AE48" s="28"/>
      <c r="AF48" s="28"/>
      <c r="AG48" s="28"/>
      <c r="AH48" s="28"/>
      <c r="AI48" s="28"/>
      <c r="AJ48" s="28"/>
      <c r="AK48" s="13"/>
      <c r="AL48" s="13"/>
      <c r="AM48" s="13"/>
      <c r="AN48" s="13"/>
      <c r="AO48" s="13"/>
      <c r="AP48" s="13"/>
    </row>
    <row r="49" spans="2:42" s="3" customFormat="1">
      <c r="B49" s="5"/>
      <c r="C49" s="53" t="str">
        <f t="shared" si="61"/>
        <v/>
      </c>
      <c r="D49" s="5"/>
      <c r="E49" s="13"/>
      <c r="F49" s="13"/>
      <c r="G49" s="5"/>
      <c r="H49" s="5"/>
      <c r="I49" s="4"/>
      <c r="J49" s="51">
        <f t="shared" si="60"/>
        <v>0</v>
      </c>
      <c r="K49" s="4"/>
      <c r="L49" s="4"/>
      <c r="M49" s="4"/>
      <c r="N49" s="4"/>
      <c r="O49" s="4"/>
      <c r="P49" s="4"/>
      <c r="Q49" s="13"/>
      <c r="R49" s="26"/>
      <c r="S49" s="26"/>
      <c r="T49" s="28"/>
      <c r="U49" s="28"/>
      <c r="V49" s="28"/>
      <c r="W49" s="28"/>
      <c r="X49" s="28"/>
      <c r="Y49" s="28"/>
      <c r="Z49" s="28"/>
      <c r="AA49" s="28"/>
      <c r="AB49" s="28"/>
      <c r="AC49" s="28"/>
      <c r="AD49" s="28"/>
      <c r="AE49" s="28"/>
      <c r="AF49" s="28"/>
      <c r="AG49" s="28"/>
      <c r="AH49" s="28"/>
      <c r="AI49" s="28"/>
      <c r="AJ49" s="28"/>
      <c r="AK49" s="13"/>
      <c r="AL49" s="13"/>
      <c r="AM49" s="13"/>
      <c r="AN49" s="13"/>
      <c r="AO49" s="13"/>
      <c r="AP49" s="13"/>
    </row>
    <row r="50" spans="2:42" s="3" customFormat="1">
      <c r="B50" s="5"/>
      <c r="C50" s="53" t="str">
        <f t="shared" si="61"/>
        <v/>
      </c>
      <c r="D50" s="5"/>
      <c r="E50" s="13"/>
      <c r="F50" s="13"/>
      <c r="G50" s="5"/>
      <c r="H50" s="5"/>
      <c r="I50" s="4"/>
      <c r="J50" s="51">
        <f t="shared" si="60"/>
        <v>0</v>
      </c>
      <c r="K50" s="4"/>
      <c r="L50" s="4"/>
      <c r="M50" s="4"/>
      <c r="N50" s="4"/>
      <c r="O50" s="4"/>
      <c r="P50" s="4"/>
      <c r="Q50" s="13"/>
      <c r="R50" s="26"/>
      <c r="S50" s="26"/>
      <c r="T50" s="28"/>
      <c r="U50" s="28"/>
      <c r="V50" s="28"/>
      <c r="W50" s="28"/>
      <c r="X50" s="28"/>
      <c r="Y50" s="28"/>
      <c r="Z50" s="28"/>
      <c r="AA50" s="28"/>
      <c r="AB50" s="28"/>
      <c r="AC50" s="28"/>
      <c r="AD50" s="28"/>
      <c r="AE50" s="28"/>
      <c r="AF50" s="28"/>
      <c r="AG50" s="28"/>
      <c r="AH50" s="28"/>
      <c r="AI50" s="28"/>
      <c r="AJ50" s="28"/>
      <c r="AK50" s="13"/>
      <c r="AL50" s="13"/>
      <c r="AM50" s="13"/>
      <c r="AN50" s="13"/>
      <c r="AO50" s="13"/>
      <c r="AP50" s="13"/>
    </row>
    <row r="51" spans="2:42" s="3" customFormat="1">
      <c r="B51" s="5"/>
      <c r="C51" s="53" t="str">
        <f t="shared" si="61"/>
        <v/>
      </c>
      <c r="D51" s="5"/>
      <c r="E51" s="13"/>
      <c r="F51" s="13"/>
      <c r="G51" s="5"/>
      <c r="H51" s="5"/>
      <c r="I51" s="4"/>
      <c r="J51" s="51">
        <f t="shared" si="60"/>
        <v>0</v>
      </c>
      <c r="K51" s="4"/>
      <c r="L51" s="4"/>
      <c r="M51" s="4"/>
      <c r="N51" s="4"/>
      <c r="O51" s="4"/>
      <c r="P51" s="4"/>
      <c r="Q51" s="13"/>
      <c r="R51" s="26"/>
      <c r="S51" s="26"/>
      <c r="T51" s="28"/>
      <c r="U51" s="28"/>
      <c r="V51" s="28"/>
      <c r="W51" s="28"/>
      <c r="X51" s="28"/>
      <c r="Y51" s="28"/>
      <c r="Z51" s="28"/>
      <c r="AA51" s="28"/>
      <c r="AB51" s="28"/>
      <c r="AC51" s="28"/>
      <c r="AD51" s="28"/>
      <c r="AE51" s="28"/>
      <c r="AF51" s="28"/>
      <c r="AG51" s="28"/>
      <c r="AH51" s="28"/>
      <c r="AI51" s="28"/>
      <c r="AJ51" s="28"/>
      <c r="AK51" s="13"/>
      <c r="AL51" s="13"/>
      <c r="AM51" s="13"/>
      <c r="AN51" s="13"/>
      <c r="AO51" s="13"/>
      <c r="AP51" s="13"/>
    </row>
    <row r="52" spans="2:42" s="3" customFormat="1">
      <c r="B52" s="5"/>
      <c r="C52" s="53" t="str">
        <f t="shared" si="61"/>
        <v/>
      </c>
      <c r="D52" s="5"/>
      <c r="E52" s="13"/>
      <c r="F52" s="13"/>
      <c r="G52" s="5"/>
      <c r="H52" s="5"/>
      <c r="I52" s="4"/>
      <c r="J52" s="51">
        <f t="shared" si="60"/>
        <v>0</v>
      </c>
      <c r="K52" s="4"/>
      <c r="L52" s="4"/>
      <c r="M52" s="4"/>
      <c r="N52" s="4"/>
      <c r="O52" s="4"/>
      <c r="P52" s="4"/>
      <c r="Q52" s="13"/>
      <c r="R52" s="26"/>
      <c r="S52" s="26"/>
      <c r="T52" s="28"/>
      <c r="U52" s="28"/>
      <c r="V52" s="28"/>
      <c r="W52" s="28"/>
      <c r="X52" s="28"/>
      <c r="Y52" s="28"/>
      <c r="Z52" s="28"/>
      <c r="AA52" s="28"/>
      <c r="AB52" s="28"/>
      <c r="AC52" s="28"/>
      <c r="AD52" s="28"/>
      <c r="AE52" s="28"/>
      <c r="AF52" s="28"/>
      <c r="AG52" s="28"/>
      <c r="AH52" s="28"/>
      <c r="AI52" s="28"/>
      <c r="AJ52" s="28"/>
      <c r="AK52" s="13"/>
      <c r="AL52" s="13"/>
      <c r="AM52" s="13"/>
      <c r="AN52" s="13"/>
      <c r="AO52" s="13"/>
      <c r="AP52" s="13"/>
    </row>
    <row r="53" spans="2:42" s="3" customFormat="1">
      <c r="B53" s="5"/>
      <c r="C53" s="53" t="str">
        <f t="shared" si="61"/>
        <v/>
      </c>
      <c r="D53" s="5"/>
      <c r="E53" s="13"/>
      <c r="F53" s="13"/>
      <c r="G53" s="5"/>
      <c r="H53" s="5"/>
      <c r="I53" s="4"/>
      <c r="J53" s="51">
        <f t="shared" si="60"/>
        <v>0</v>
      </c>
      <c r="K53" s="4"/>
      <c r="L53" s="4"/>
      <c r="M53" s="4"/>
      <c r="N53" s="4"/>
      <c r="O53" s="4"/>
      <c r="P53" s="4"/>
      <c r="Q53" s="13"/>
      <c r="R53" s="26"/>
      <c r="S53" s="26"/>
      <c r="T53" s="28"/>
      <c r="U53" s="28"/>
      <c r="V53" s="28"/>
      <c r="W53" s="28"/>
      <c r="X53" s="28"/>
      <c r="Y53" s="28"/>
      <c r="Z53" s="28"/>
      <c r="AA53" s="28"/>
      <c r="AB53" s="28"/>
      <c r="AC53" s="28"/>
      <c r="AD53" s="28"/>
      <c r="AE53" s="28"/>
      <c r="AF53" s="28"/>
      <c r="AG53" s="28"/>
      <c r="AH53" s="28"/>
      <c r="AI53" s="28"/>
      <c r="AJ53" s="28"/>
      <c r="AK53" s="13"/>
      <c r="AL53" s="13"/>
      <c r="AM53" s="13"/>
      <c r="AN53" s="13"/>
      <c r="AO53" s="13"/>
      <c r="AP53" s="13"/>
    </row>
    <row r="54" spans="2:42" s="3" customFormat="1">
      <c r="B54" s="5"/>
      <c r="C54" s="53" t="str">
        <f t="shared" si="61"/>
        <v/>
      </c>
      <c r="D54" s="5"/>
      <c r="E54" s="13"/>
      <c r="F54" s="13"/>
      <c r="G54" s="5"/>
      <c r="H54" s="5"/>
      <c r="I54" s="4"/>
      <c r="J54" s="51">
        <f t="shared" si="60"/>
        <v>0</v>
      </c>
      <c r="K54" s="4"/>
      <c r="L54" s="4"/>
      <c r="M54" s="4"/>
      <c r="N54" s="4"/>
      <c r="O54" s="4"/>
      <c r="P54" s="4"/>
      <c r="Q54" s="13"/>
      <c r="R54" s="26"/>
      <c r="S54" s="26"/>
      <c r="T54" s="28"/>
      <c r="U54" s="28"/>
      <c r="V54" s="28"/>
      <c r="W54" s="28"/>
      <c r="X54" s="28"/>
      <c r="Y54" s="28"/>
      <c r="Z54" s="28"/>
      <c r="AA54" s="28"/>
      <c r="AB54" s="28"/>
      <c r="AC54" s="28"/>
      <c r="AD54" s="28"/>
      <c r="AE54" s="28"/>
      <c r="AF54" s="28"/>
      <c r="AG54" s="28"/>
      <c r="AH54" s="28"/>
      <c r="AI54" s="28"/>
      <c r="AJ54" s="28"/>
      <c r="AK54" s="13"/>
      <c r="AL54" s="13"/>
      <c r="AM54" s="13"/>
      <c r="AN54" s="13"/>
      <c r="AO54" s="13"/>
      <c r="AP54" s="13"/>
    </row>
    <row r="55" spans="2:42" s="3" customFormat="1">
      <c r="B55" s="5"/>
      <c r="C55" s="53" t="str">
        <f t="shared" si="61"/>
        <v/>
      </c>
      <c r="D55" s="5"/>
      <c r="E55" s="13"/>
      <c r="F55" s="13"/>
      <c r="G55" s="5"/>
      <c r="H55" s="5"/>
      <c r="I55" s="4"/>
      <c r="J55" s="51">
        <f t="shared" si="60"/>
        <v>0</v>
      </c>
      <c r="K55" s="4"/>
      <c r="L55" s="4"/>
      <c r="M55" s="4"/>
      <c r="N55" s="4"/>
      <c r="O55" s="4"/>
      <c r="P55" s="4"/>
      <c r="Q55" s="13"/>
      <c r="R55" s="26"/>
      <c r="S55" s="26"/>
      <c r="T55" s="28"/>
      <c r="U55" s="28"/>
      <c r="V55" s="28"/>
      <c r="W55" s="28"/>
      <c r="X55" s="28"/>
      <c r="Y55" s="28"/>
      <c r="Z55" s="28"/>
      <c r="AA55" s="28"/>
      <c r="AB55" s="28"/>
      <c r="AC55" s="28"/>
      <c r="AD55" s="28"/>
      <c r="AE55" s="28"/>
      <c r="AF55" s="28"/>
      <c r="AG55" s="28"/>
      <c r="AH55" s="28"/>
      <c r="AI55" s="28"/>
      <c r="AJ55" s="28"/>
      <c r="AK55" s="13"/>
      <c r="AL55" s="13"/>
      <c r="AM55" s="13"/>
      <c r="AN55" s="13"/>
      <c r="AO55" s="13"/>
      <c r="AP55" s="13"/>
    </row>
    <row r="56" spans="2:42" s="3" customFormat="1">
      <c r="B56" s="5"/>
      <c r="C56" s="53" t="str">
        <f t="shared" si="61"/>
        <v/>
      </c>
      <c r="D56" s="5"/>
      <c r="E56" s="13"/>
      <c r="F56" s="13"/>
      <c r="G56" s="5"/>
      <c r="H56" s="5"/>
      <c r="I56" s="4"/>
      <c r="J56" s="51">
        <f t="shared" si="60"/>
        <v>0</v>
      </c>
      <c r="K56" s="4"/>
      <c r="L56" s="4"/>
      <c r="M56" s="4"/>
      <c r="N56" s="4"/>
      <c r="O56" s="4"/>
      <c r="P56" s="4"/>
      <c r="Q56" s="13"/>
      <c r="R56" s="26"/>
      <c r="S56" s="26"/>
      <c r="T56" s="28"/>
      <c r="U56" s="28"/>
      <c r="V56" s="28"/>
      <c r="W56" s="28"/>
      <c r="X56" s="28"/>
      <c r="Y56" s="28"/>
      <c r="Z56" s="28"/>
      <c r="AA56" s="28"/>
      <c r="AB56" s="28"/>
      <c r="AC56" s="28"/>
      <c r="AD56" s="28"/>
      <c r="AE56" s="28"/>
      <c r="AF56" s="28"/>
      <c r="AG56" s="28"/>
      <c r="AH56" s="28"/>
      <c r="AI56" s="28"/>
      <c r="AJ56" s="28"/>
      <c r="AK56" s="13"/>
      <c r="AL56" s="13"/>
      <c r="AM56" s="13"/>
      <c r="AN56" s="13"/>
      <c r="AO56" s="13"/>
      <c r="AP56" s="13"/>
    </row>
    <row r="57" spans="2:42" s="3" customFormat="1">
      <c r="B57" s="5"/>
      <c r="C57" s="53" t="str">
        <f t="shared" si="61"/>
        <v/>
      </c>
      <c r="D57" s="6"/>
      <c r="E57" s="13"/>
      <c r="F57" s="13"/>
      <c r="G57" s="5"/>
      <c r="H57" s="5"/>
      <c r="I57" s="4"/>
      <c r="J57" s="51">
        <f t="shared" si="60"/>
        <v>0</v>
      </c>
      <c r="K57" s="4"/>
      <c r="L57" s="4"/>
      <c r="M57" s="4"/>
      <c r="N57" s="4"/>
      <c r="O57" s="4"/>
      <c r="P57" s="4"/>
      <c r="Q57" s="13"/>
      <c r="R57" s="26"/>
      <c r="S57" s="26"/>
      <c r="T57" s="28"/>
      <c r="U57" s="28"/>
      <c r="V57" s="28"/>
      <c r="W57" s="28"/>
      <c r="X57" s="28"/>
      <c r="Y57" s="28"/>
      <c r="Z57" s="28"/>
      <c r="AA57" s="28"/>
      <c r="AB57" s="28"/>
      <c r="AC57" s="28"/>
      <c r="AD57" s="28"/>
      <c r="AE57" s="28"/>
      <c r="AF57" s="28"/>
      <c r="AG57" s="28"/>
      <c r="AH57" s="28"/>
      <c r="AI57" s="28"/>
      <c r="AJ57" s="28"/>
      <c r="AK57" s="13"/>
      <c r="AL57" s="13"/>
      <c r="AM57" s="13"/>
      <c r="AN57" s="13"/>
      <c r="AO57" s="13"/>
      <c r="AP57" s="13"/>
    </row>
    <row r="58" spans="2:42" s="3" customFormat="1">
      <c r="B58" s="5"/>
      <c r="C58" s="53" t="str">
        <f t="shared" si="61"/>
        <v/>
      </c>
      <c r="D58" s="6"/>
      <c r="E58" s="13"/>
      <c r="F58" s="13"/>
      <c r="G58" s="5"/>
      <c r="H58" s="5"/>
      <c r="I58" s="4"/>
      <c r="J58" s="51">
        <f t="shared" si="60"/>
        <v>0</v>
      </c>
      <c r="K58" s="4"/>
      <c r="L58" s="4"/>
      <c r="M58" s="4"/>
      <c r="N58" s="4"/>
      <c r="O58" s="4"/>
      <c r="P58" s="4"/>
      <c r="Q58" s="13"/>
      <c r="R58" s="26"/>
      <c r="S58" s="26"/>
      <c r="T58" s="28"/>
      <c r="U58" s="28"/>
      <c r="V58" s="28"/>
      <c r="W58" s="28"/>
      <c r="X58" s="28"/>
      <c r="Y58" s="28"/>
      <c r="Z58" s="28"/>
      <c r="AA58" s="28"/>
      <c r="AB58" s="28"/>
      <c r="AC58" s="28"/>
      <c r="AD58" s="28"/>
      <c r="AE58" s="28"/>
      <c r="AF58" s="28"/>
      <c r="AG58" s="28"/>
      <c r="AH58" s="28"/>
      <c r="AI58" s="28"/>
      <c r="AJ58" s="28"/>
      <c r="AK58" s="13"/>
      <c r="AL58" s="13"/>
      <c r="AM58" s="13"/>
      <c r="AN58" s="13"/>
      <c r="AO58" s="13"/>
      <c r="AP58" s="13"/>
    </row>
    <row r="59" spans="2:42" s="3" customFormat="1">
      <c r="B59" s="5"/>
      <c r="C59" s="53" t="str">
        <f t="shared" si="61"/>
        <v/>
      </c>
      <c r="D59" s="6"/>
      <c r="E59" s="13"/>
      <c r="F59" s="13"/>
      <c r="G59" s="5"/>
      <c r="H59" s="5"/>
      <c r="I59" s="4"/>
      <c r="J59" s="51">
        <f t="shared" si="60"/>
        <v>0</v>
      </c>
      <c r="K59" s="4"/>
      <c r="L59" s="4"/>
      <c r="M59" s="4"/>
      <c r="N59" s="4"/>
      <c r="O59" s="4"/>
      <c r="P59" s="4"/>
      <c r="Q59" s="13"/>
      <c r="R59" s="26"/>
      <c r="S59" s="26"/>
      <c r="T59" s="28"/>
      <c r="U59" s="28"/>
      <c r="V59" s="28"/>
      <c r="W59" s="28"/>
      <c r="X59" s="28"/>
      <c r="Y59" s="28"/>
      <c r="Z59" s="28"/>
      <c r="AA59" s="28"/>
      <c r="AB59" s="28"/>
      <c r="AC59" s="28"/>
      <c r="AD59" s="28"/>
      <c r="AE59" s="28"/>
      <c r="AF59" s="28"/>
      <c r="AG59" s="28"/>
      <c r="AH59" s="28"/>
      <c r="AI59" s="28"/>
      <c r="AJ59" s="28"/>
      <c r="AK59" s="13"/>
      <c r="AL59" s="13"/>
      <c r="AM59" s="13"/>
      <c r="AN59" s="13"/>
      <c r="AO59" s="13"/>
      <c r="AP59" s="13"/>
    </row>
    <row r="60" spans="2:42" s="3" customFormat="1">
      <c r="B60" s="5"/>
      <c r="C60" s="53" t="str">
        <f t="shared" si="61"/>
        <v/>
      </c>
      <c r="D60" s="6"/>
      <c r="E60" s="13"/>
      <c r="F60" s="13"/>
      <c r="G60" s="5"/>
      <c r="H60" s="5"/>
      <c r="I60" s="4"/>
      <c r="J60" s="51">
        <f t="shared" si="60"/>
        <v>0</v>
      </c>
      <c r="K60" s="4"/>
      <c r="L60" s="4"/>
      <c r="M60" s="4"/>
      <c r="N60" s="4"/>
      <c r="O60" s="4"/>
      <c r="P60" s="4"/>
      <c r="Q60" s="13"/>
      <c r="R60" s="26"/>
      <c r="S60" s="26"/>
      <c r="T60" s="28"/>
      <c r="U60" s="28"/>
      <c r="V60" s="28"/>
      <c r="W60" s="28"/>
      <c r="X60" s="28"/>
      <c r="Y60" s="28"/>
      <c r="Z60" s="28"/>
      <c r="AA60" s="28"/>
      <c r="AB60" s="28"/>
      <c r="AC60" s="28"/>
      <c r="AD60" s="28"/>
      <c r="AE60" s="28"/>
      <c r="AF60" s="28"/>
      <c r="AG60" s="28"/>
      <c r="AH60" s="28"/>
      <c r="AI60" s="28"/>
      <c r="AJ60" s="28"/>
      <c r="AK60" s="13"/>
      <c r="AL60" s="13"/>
      <c r="AM60" s="13"/>
      <c r="AN60" s="13"/>
      <c r="AO60" s="13"/>
      <c r="AP60" s="13"/>
    </row>
    <row r="61" spans="2:42" s="3" customFormat="1">
      <c r="B61" s="5"/>
      <c r="C61" s="53" t="str">
        <f t="shared" si="61"/>
        <v/>
      </c>
      <c r="D61" s="5"/>
      <c r="E61" s="13"/>
      <c r="F61" s="13"/>
      <c r="G61" s="5"/>
      <c r="H61" s="5"/>
      <c r="I61" s="4"/>
      <c r="J61" s="51">
        <f t="shared" si="60"/>
        <v>0</v>
      </c>
      <c r="K61" s="4"/>
      <c r="L61" s="4"/>
      <c r="M61" s="4"/>
      <c r="N61" s="4"/>
      <c r="O61" s="4"/>
      <c r="P61" s="4"/>
      <c r="Q61" s="13"/>
      <c r="R61" s="26"/>
      <c r="S61" s="26"/>
      <c r="T61" s="28"/>
      <c r="U61" s="28"/>
      <c r="V61" s="28"/>
      <c r="W61" s="28"/>
      <c r="X61" s="28"/>
      <c r="Y61" s="28"/>
      <c r="Z61" s="28"/>
      <c r="AA61" s="28"/>
      <c r="AB61" s="28"/>
      <c r="AC61" s="28"/>
      <c r="AD61" s="28"/>
      <c r="AE61" s="28"/>
      <c r="AF61" s="28"/>
      <c r="AG61" s="28"/>
      <c r="AH61" s="28"/>
      <c r="AI61" s="28"/>
      <c r="AJ61" s="28"/>
      <c r="AK61" s="13"/>
      <c r="AL61" s="13"/>
      <c r="AM61" s="13"/>
      <c r="AN61" s="13"/>
      <c r="AO61" s="13"/>
      <c r="AP61" s="13"/>
    </row>
    <row r="62" spans="2:42" s="3" customFormat="1">
      <c r="B62" s="5"/>
      <c r="C62" s="53" t="str">
        <f t="shared" si="61"/>
        <v/>
      </c>
      <c r="D62" s="5"/>
      <c r="E62" s="13"/>
      <c r="F62" s="13"/>
      <c r="G62" s="5"/>
      <c r="H62" s="5"/>
      <c r="I62" s="4"/>
      <c r="J62" s="51">
        <f t="shared" si="60"/>
        <v>0</v>
      </c>
      <c r="K62" s="4"/>
      <c r="L62" s="4"/>
      <c r="M62" s="4"/>
      <c r="N62" s="4"/>
      <c r="O62" s="4"/>
      <c r="P62" s="4"/>
      <c r="Q62" s="13"/>
      <c r="R62" s="26"/>
      <c r="S62" s="26"/>
      <c r="T62" s="28"/>
      <c r="U62" s="28"/>
      <c r="V62" s="28"/>
      <c r="W62" s="28"/>
      <c r="X62" s="28"/>
      <c r="Y62" s="28"/>
      <c r="Z62" s="28"/>
      <c r="AA62" s="28"/>
      <c r="AB62" s="28"/>
      <c r="AC62" s="28"/>
      <c r="AD62" s="28"/>
      <c r="AE62" s="28"/>
      <c r="AF62" s="28"/>
      <c r="AG62" s="28"/>
      <c r="AH62" s="28"/>
      <c r="AI62" s="28"/>
      <c r="AJ62" s="28"/>
      <c r="AK62" s="13"/>
      <c r="AL62" s="13"/>
      <c r="AM62" s="13"/>
      <c r="AN62" s="13"/>
      <c r="AO62" s="13"/>
      <c r="AP62" s="13"/>
    </row>
    <row r="63" spans="2:42">
      <c r="B63" s="5"/>
      <c r="C63" s="53" t="str">
        <f t="shared" si="61"/>
        <v/>
      </c>
      <c r="D63" s="5"/>
      <c r="E63" s="26"/>
      <c r="F63" s="26"/>
      <c r="G63" s="5"/>
      <c r="H63" s="5"/>
      <c r="I63" s="4"/>
      <c r="J63" s="51">
        <f t="shared" si="60"/>
        <v>0</v>
      </c>
      <c r="K63" s="4"/>
      <c r="L63" s="4"/>
      <c r="M63" s="4"/>
      <c r="N63" s="4"/>
      <c r="O63" s="4"/>
      <c r="P63" s="4"/>
      <c r="Q63" s="26"/>
      <c r="R63" s="26"/>
      <c r="S63" s="28"/>
      <c r="T63" s="28"/>
      <c r="U63" s="28"/>
      <c r="V63" s="28"/>
      <c r="W63" s="28"/>
      <c r="X63" s="28"/>
      <c r="Y63" s="28"/>
      <c r="Z63" s="28"/>
      <c r="AA63" s="28"/>
      <c r="AB63" s="28"/>
      <c r="AC63" s="28"/>
      <c r="AD63" s="28"/>
      <c r="AE63" s="28"/>
      <c r="AF63" s="28"/>
      <c r="AG63" s="28"/>
      <c r="AH63" s="28"/>
      <c r="AI63" s="28"/>
      <c r="AJ63" s="28"/>
      <c r="AK63" s="28"/>
      <c r="AL63" s="28"/>
      <c r="AM63" s="28"/>
      <c r="AN63" s="28"/>
      <c r="AO63" s="28"/>
      <c r="AP63" s="28"/>
    </row>
    <row r="64" spans="2:42">
      <c r="B64" s="5"/>
      <c r="C64" s="53" t="str">
        <f t="shared" si="61"/>
        <v/>
      </c>
      <c r="D64" s="5"/>
      <c r="E64" s="26"/>
      <c r="F64" s="26"/>
      <c r="G64" s="5"/>
      <c r="H64" s="5"/>
      <c r="I64" s="4"/>
      <c r="J64" s="51">
        <f t="shared" si="60"/>
        <v>0</v>
      </c>
      <c r="K64" s="4"/>
      <c r="L64" s="4"/>
      <c r="M64" s="4"/>
      <c r="N64" s="4"/>
      <c r="O64" s="4"/>
      <c r="P64" s="4"/>
      <c r="Q64" s="26"/>
      <c r="R64" s="26"/>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row>
    <row r="65" spans="2:42">
      <c r="B65" s="5"/>
      <c r="C65" s="53" t="str">
        <f t="shared" si="61"/>
        <v/>
      </c>
      <c r="D65" s="5"/>
      <c r="E65" s="26"/>
      <c r="F65" s="26"/>
      <c r="G65" s="5"/>
      <c r="H65" s="5"/>
      <c r="I65" s="4"/>
      <c r="J65" s="51">
        <f t="shared" si="60"/>
        <v>0</v>
      </c>
      <c r="K65" s="4"/>
      <c r="L65" s="4"/>
      <c r="M65" s="4"/>
      <c r="N65" s="4"/>
      <c r="O65" s="4"/>
      <c r="P65" s="4"/>
      <c r="Q65" s="26"/>
      <c r="R65" s="26"/>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row>
    <row r="66" spans="2:42">
      <c r="B66" s="5"/>
      <c r="C66" s="53" t="str">
        <f t="shared" si="61"/>
        <v/>
      </c>
      <c r="D66" s="5"/>
      <c r="E66" s="26"/>
      <c r="F66" s="26"/>
      <c r="G66" s="5"/>
      <c r="H66" s="5"/>
      <c r="I66" s="4"/>
      <c r="J66" s="51">
        <f t="shared" si="60"/>
        <v>0</v>
      </c>
      <c r="K66" s="4"/>
      <c r="L66" s="4"/>
      <c r="M66" s="4"/>
      <c r="N66" s="4"/>
      <c r="O66" s="4"/>
      <c r="P66" s="4"/>
      <c r="Q66" s="26"/>
      <c r="R66" s="26"/>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row>
    <row r="67" spans="2:42">
      <c r="B67" s="5"/>
      <c r="C67" s="53" t="str">
        <f t="shared" si="61"/>
        <v/>
      </c>
      <c r="D67" s="5"/>
      <c r="E67" s="26"/>
      <c r="F67" s="26"/>
      <c r="G67" s="5"/>
      <c r="H67" s="5"/>
      <c r="I67" s="4"/>
      <c r="J67" s="51">
        <f t="shared" si="60"/>
        <v>0</v>
      </c>
      <c r="K67" s="4"/>
      <c r="L67" s="4"/>
      <c r="M67" s="4"/>
      <c r="N67" s="4"/>
      <c r="O67" s="4"/>
      <c r="P67" s="4"/>
      <c r="Q67" s="26"/>
      <c r="R67" s="26"/>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row>
    <row r="68" spans="2:42">
      <c r="B68" s="5"/>
      <c r="C68" s="53" t="str">
        <f t="shared" si="61"/>
        <v/>
      </c>
      <c r="D68" s="5"/>
      <c r="E68" s="26"/>
      <c r="F68" s="26"/>
      <c r="G68" s="5"/>
      <c r="H68" s="5"/>
      <c r="I68" s="4"/>
      <c r="J68" s="51">
        <f t="shared" si="60"/>
        <v>0</v>
      </c>
      <c r="K68" s="4"/>
      <c r="L68" s="4"/>
      <c r="M68" s="4"/>
      <c r="N68" s="4"/>
      <c r="O68" s="4"/>
      <c r="P68" s="4"/>
      <c r="Q68" s="26"/>
      <c r="R68" s="26"/>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row>
    <row r="69" spans="2:42">
      <c r="B69" s="5"/>
      <c r="C69" s="53" t="str">
        <f t="shared" si="61"/>
        <v/>
      </c>
      <c r="D69" s="5"/>
      <c r="E69" s="26"/>
      <c r="F69" s="26"/>
      <c r="G69" s="5"/>
      <c r="H69" s="5"/>
      <c r="I69" s="4"/>
      <c r="J69" s="51">
        <f t="shared" si="60"/>
        <v>0</v>
      </c>
      <c r="K69" s="4"/>
      <c r="L69" s="4"/>
      <c r="M69" s="4"/>
      <c r="N69" s="4"/>
      <c r="O69" s="4"/>
      <c r="P69" s="4"/>
      <c r="Q69" s="26"/>
      <c r="R69" s="26"/>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row>
    <row r="70" spans="2:42">
      <c r="B70" s="5"/>
      <c r="C70" s="53" t="str">
        <f t="shared" si="61"/>
        <v/>
      </c>
      <c r="D70" s="5"/>
      <c r="E70" s="26"/>
      <c r="F70" s="26"/>
      <c r="G70" s="5"/>
      <c r="H70" s="5"/>
      <c r="I70" s="4"/>
      <c r="J70" s="51">
        <f t="shared" si="60"/>
        <v>0</v>
      </c>
      <c r="K70" s="4"/>
      <c r="L70" s="4"/>
      <c r="M70" s="4"/>
      <c r="N70" s="4"/>
      <c r="O70" s="4"/>
      <c r="P70" s="4"/>
      <c r="Q70" s="26"/>
      <c r="R70" s="26"/>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row>
    <row r="71" spans="2:42">
      <c r="B71" s="5"/>
      <c r="C71" s="53" t="str">
        <f t="shared" si="61"/>
        <v/>
      </c>
      <c r="D71" s="5"/>
      <c r="E71" s="26"/>
      <c r="F71" s="26"/>
      <c r="G71" s="5"/>
      <c r="H71" s="5"/>
      <c r="I71" s="4"/>
      <c r="J71" s="51">
        <f t="shared" si="60"/>
        <v>0</v>
      </c>
      <c r="K71" s="4"/>
      <c r="L71" s="4"/>
      <c r="M71" s="4"/>
      <c r="N71" s="4"/>
      <c r="O71" s="4"/>
      <c r="P71" s="4"/>
      <c r="Q71" s="26"/>
      <c r="R71" s="26"/>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row>
    <row r="72" spans="2:42">
      <c r="B72" s="5"/>
      <c r="C72" s="53" t="str">
        <f t="shared" si="61"/>
        <v/>
      </c>
      <c r="D72" s="5"/>
      <c r="E72" s="26"/>
      <c r="F72" s="26"/>
      <c r="G72" s="5"/>
      <c r="H72" s="5"/>
      <c r="I72" s="4"/>
      <c r="J72" s="51">
        <f t="shared" si="60"/>
        <v>0</v>
      </c>
      <c r="K72" s="4"/>
      <c r="L72" s="4"/>
      <c r="M72" s="4"/>
      <c r="N72" s="4"/>
      <c r="O72" s="4"/>
      <c r="P72" s="4"/>
      <c r="Q72" s="26"/>
      <c r="R72" s="26"/>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row>
    <row r="73" spans="2:42">
      <c r="B73" s="5"/>
      <c r="C73" s="53" t="str">
        <f t="shared" si="61"/>
        <v/>
      </c>
      <c r="D73" s="5"/>
      <c r="E73" s="26"/>
      <c r="F73" s="26"/>
      <c r="G73" s="5"/>
      <c r="H73" s="5"/>
      <c r="I73" s="4"/>
      <c r="J73" s="51">
        <f t="shared" si="60"/>
        <v>0</v>
      </c>
      <c r="K73" s="4"/>
      <c r="L73" s="4"/>
      <c r="M73" s="4"/>
      <c r="N73" s="4"/>
      <c r="O73" s="4"/>
      <c r="P73" s="4"/>
      <c r="Q73" s="26"/>
      <c r="R73" s="26"/>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row>
    <row r="74" spans="2:42">
      <c r="B74" s="5"/>
      <c r="C74" s="53" t="str">
        <f t="shared" si="61"/>
        <v/>
      </c>
      <c r="D74" s="5"/>
      <c r="E74" s="26"/>
      <c r="F74" s="26"/>
      <c r="G74" s="5"/>
      <c r="H74" s="5"/>
      <c r="I74" s="4"/>
      <c r="J74" s="51">
        <f t="shared" si="60"/>
        <v>0</v>
      </c>
      <c r="K74" s="4"/>
      <c r="L74" s="4"/>
      <c r="M74" s="4"/>
      <c r="N74" s="4"/>
      <c r="O74" s="4"/>
      <c r="P74" s="4"/>
      <c r="Q74" s="26"/>
      <c r="R74" s="26"/>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row>
    <row r="75" spans="2:42">
      <c r="B75" s="5"/>
      <c r="C75" s="53" t="str">
        <f t="shared" si="61"/>
        <v/>
      </c>
      <c r="D75" s="5"/>
      <c r="E75" s="26"/>
      <c r="F75" s="26"/>
      <c r="G75" s="5"/>
      <c r="H75" s="5"/>
      <c r="I75" s="4"/>
      <c r="J75" s="51">
        <f t="shared" si="60"/>
        <v>0</v>
      </c>
      <c r="K75" s="4"/>
      <c r="L75" s="4"/>
      <c r="M75" s="4"/>
      <c r="N75" s="4"/>
      <c r="O75" s="4"/>
      <c r="P75" s="4"/>
      <c r="Q75" s="26"/>
      <c r="R75" s="26"/>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row>
    <row r="76" spans="2:42">
      <c r="B76" s="5"/>
      <c r="C76" s="53" t="str">
        <f t="shared" si="61"/>
        <v/>
      </c>
      <c r="D76" s="5"/>
      <c r="E76" s="26"/>
      <c r="F76" s="26"/>
      <c r="G76" s="5"/>
      <c r="H76" s="5"/>
      <c r="I76" s="4"/>
      <c r="J76" s="51">
        <f t="shared" si="60"/>
        <v>0</v>
      </c>
      <c r="K76" s="4"/>
      <c r="L76" s="4"/>
      <c r="M76" s="4"/>
      <c r="N76" s="4"/>
      <c r="O76" s="4"/>
      <c r="P76" s="4"/>
      <c r="Q76" s="26"/>
      <c r="R76" s="26"/>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row>
    <row r="77" spans="2:42">
      <c r="B77" s="5"/>
      <c r="C77" s="53" t="str">
        <f t="shared" si="61"/>
        <v/>
      </c>
      <c r="D77" s="5"/>
      <c r="E77" s="26"/>
      <c r="F77" s="26"/>
      <c r="G77" s="5"/>
      <c r="H77" s="5"/>
      <c r="I77" s="4"/>
      <c r="J77" s="51">
        <f t="shared" si="60"/>
        <v>0</v>
      </c>
      <c r="K77" s="4"/>
      <c r="L77" s="4"/>
      <c r="M77" s="4"/>
      <c r="N77" s="4"/>
      <c r="O77" s="4"/>
      <c r="P77" s="4"/>
      <c r="Q77" s="26"/>
      <c r="R77" s="26"/>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row>
    <row r="78" spans="2:42">
      <c r="B78" s="5"/>
      <c r="C78" s="53" t="str">
        <f t="shared" si="61"/>
        <v/>
      </c>
      <c r="D78" s="5"/>
      <c r="E78" s="26"/>
      <c r="F78" s="26"/>
      <c r="G78" s="5"/>
      <c r="H78" s="5"/>
      <c r="I78" s="4"/>
      <c r="J78" s="51">
        <f t="shared" si="60"/>
        <v>0</v>
      </c>
      <c r="K78" s="4"/>
      <c r="L78" s="4"/>
      <c r="M78" s="4"/>
      <c r="N78" s="4"/>
      <c r="O78" s="4"/>
      <c r="P78" s="4"/>
      <c r="Q78" s="26"/>
      <c r="R78" s="26"/>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row>
    <row r="79" spans="2:42">
      <c r="B79" s="5"/>
      <c r="C79" s="53" t="str">
        <f t="shared" si="61"/>
        <v/>
      </c>
      <c r="D79" s="5"/>
      <c r="E79" s="26"/>
      <c r="F79" s="26"/>
      <c r="G79" s="5"/>
      <c r="H79" s="5"/>
      <c r="I79" s="4"/>
      <c r="J79" s="51">
        <f t="shared" si="60"/>
        <v>0</v>
      </c>
      <c r="K79" s="4"/>
      <c r="L79" s="4"/>
      <c r="M79" s="4"/>
      <c r="N79" s="4"/>
      <c r="O79" s="4"/>
      <c r="P79" s="4"/>
      <c r="Q79" s="26"/>
      <c r="R79" s="26"/>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row>
    <row r="80" spans="2:42">
      <c r="B80" s="5"/>
      <c r="C80" s="53" t="str">
        <f t="shared" si="61"/>
        <v/>
      </c>
      <c r="D80" s="5"/>
      <c r="E80" s="26"/>
      <c r="F80" s="26"/>
      <c r="G80" s="5"/>
      <c r="H80" s="5"/>
      <c r="I80" s="4"/>
      <c r="J80" s="51">
        <f t="shared" si="60"/>
        <v>0</v>
      </c>
      <c r="K80" s="4"/>
      <c r="L80" s="4"/>
      <c r="M80" s="4"/>
      <c r="N80" s="4"/>
      <c r="O80" s="4"/>
      <c r="P80" s="4"/>
      <c r="Q80" s="26"/>
      <c r="R80" s="26"/>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row>
    <row r="81" spans="2:42">
      <c r="B81" s="5"/>
      <c r="C81" s="53" t="str">
        <f t="shared" si="61"/>
        <v/>
      </c>
      <c r="D81" s="5"/>
      <c r="E81" s="26"/>
      <c r="F81" s="26"/>
      <c r="G81" s="5"/>
      <c r="H81" s="5"/>
      <c r="I81" s="4"/>
      <c r="J81" s="51">
        <f t="shared" si="60"/>
        <v>0</v>
      </c>
      <c r="K81" s="4"/>
      <c r="L81" s="4"/>
      <c r="M81" s="4"/>
      <c r="N81" s="4"/>
      <c r="O81" s="4"/>
      <c r="P81" s="4"/>
      <c r="Q81" s="26"/>
      <c r="R81" s="26"/>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row>
    <row r="82" spans="2:42">
      <c r="B82" s="5"/>
      <c r="C82" s="53" t="str">
        <f t="shared" si="61"/>
        <v/>
      </c>
      <c r="D82" s="5"/>
      <c r="E82" s="26"/>
      <c r="F82" s="26"/>
      <c r="G82" s="5"/>
      <c r="H82" s="5"/>
      <c r="I82" s="4"/>
      <c r="J82" s="51">
        <f t="shared" si="60"/>
        <v>0</v>
      </c>
      <c r="K82" s="4"/>
      <c r="L82" s="4"/>
      <c r="M82" s="4"/>
      <c r="N82" s="4"/>
      <c r="O82" s="4"/>
      <c r="P82" s="4"/>
      <c r="Q82" s="26"/>
      <c r="R82" s="26"/>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row>
    <row r="83" spans="2:42">
      <c r="B83" s="5"/>
      <c r="C83" s="53" t="str">
        <f t="shared" si="61"/>
        <v/>
      </c>
      <c r="D83" s="5"/>
      <c r="E83" s="26"/>
      <c r="F83" s="26"/>
      <c r="G83" s="5"/>
      <c r="H83" s="5"/>
      <c r="I83" s="4"/>
      <c r="J83" s="51">
        <f t="shared" si="60"/>
        <v>0</v>
      </c>
      <c r="K83" s="4"/>
      <c r="L83" s="4"/>
      <c r="M83" s="4"/>
      <c r="N83" s="4"/>
      <c r="O83" s="4"/>
      <c r="P83" s="4"/>
      <c r="Q83" s="26"/>
      <c r="R83" s="26"/>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row>
    <row r="84" spans="2:42">
      <c r="B84" s="5"/>
      <c r="C84" s="53" t="str">
        <f t="shared" si="61"/>
        <v/>
      </c>
      <c r="D84" s="5"/>
      <c r="E84" s="26"/>
      <c r="F84" s="26"/>
      <c r="G84" s="5"/>
      <c r="H84" s="5"/>
      <c r="I84" s="4"/>
      <c r="J84" s="51">
        <f t="shared" si="60"/>
        <v>0</v>
      </c>
      <c r="K84" s="4"/>
      <c r="L84" s="4"/>
      <c r="M84" s="4"/>
      <c r="N84" s="4"/>
      <c r="O84" s="4"/>
      <c r="P84" s="4"/>
      <c r="Q84" s="26"/>
      <c r="R84" s="26"/>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row>
    <row r="85" spans="2:42">
      <c r="B85" s="5"/>
      <c r="C85" s="53" t="str">
        <f t="shared" si="61"/>
        <v/>
      </c>
      <c r="D85" s="5"/>
      <c r="E85" s="26"/>
      <c r="F85" s="26"/>
      <c r="G85" s="5"/>
      <c r="H85" s="5"/>
      <c r="I85" s="4"/>
      <c r="J85" s="51">
        <f t="shared" si="60"/>
        <v>0</v>
      </c>
      <c r="K85" s="4"/>
      <c r="L85" s="4"/>
      <c r="M85" s="4"/>
      <c r="N85" s="4"/>
      <c r="O85" s="4"/>
      <c r="P85" s="4"/>
      <c r="Q85" s="26"/>
      <c r="R85" s="26"/>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row>
    <row r="86" spans="2:42">
      <c r="B86" s="5"/>
      <c r="C86" s="53" t="str">
        <f t="shared" si="61"/>
        <v/>
      </c>
      <c r="D86" s="5"/>
      <c r="E86" s="26"/>
      <c r="F86" s="26"/>
      <c r="G86" s="5"/>
      <c r="H86" s="5"/>
      <c r="I86" s="4"/>
      <c r="J86" s="51">
        <f t="shared" si="60"/>
        <v>0</v>
      </c>
      <c r="K86" s="4"/>
      <c r="L86" s="4"/>
      <c r="M86" s="4"/>
      <c r="N86" s="4"/>
      <c r="O86" s="4"/>
      <c r="P86" s="4"/>
      <c r="Q86" s="26"/>
      <c r="R86" s="26"/>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row>
    <row r="87" spans="2:42">
      <c r="B87" s="5"/>
      <c r="C87" s="53" t="str">
        <f t="shared" si="61"/>
        <v/>
      </c>
      <c r="D87" s="5"/>
      <c r="E87" s="26"/>
      <c r="F87" s="26"/>
      <c r="G87" s="5"/>
      <c r="H87" s="5"/>
      <c r="I87" s="4"/>
      <c r="J87" s="51">
        <f t="shared" si="60"/>
        <v>0</v>
      </c>
      <c r="K87" s="4"/>
      <c r="L87" s="4"/>
      <c r="M87" s="4"/>
      <c r="N87" s="4"/>
      <c r="O87" s="4"/>
      <c r="P87" s="4"/>
      <c r="Q87" s="26"/>
      <c r="R87" s="26"/>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row>
    <row r="88" spans="2:42">
      <c r="B88" s="5"/>
      <c r="C88" s="53" t="str">
        <f t="shared" si="61"/>
        <v/>
      </c>
      <c r="D88" s="5"/>
      <c r="E88" s="26"/>
      <c r="F88" s="26"/>
      <c r="G88" s="5"/>
      <c r="H88" s="5"/>
      <c r="I88" s="4"/>
      <c r="J88" s="51">
        <f t="shared" si="60"/>
        <v>0</v>
      </c>
      <c r="K88" s="4"/>
      <c r="L88" s="4"/>
      <c r="M88" s="4"/>
      <c r="N88" s="4"/>
      <c r="O88" s="4"/>
      <c r="P88" s="4"/>
      <c r="Q88" s="26"/>
      <c r="R88" s="26"/>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row>
    <row r="89" spans="2:42">
      <c r="B89" s="5"/>
      <c r="C89" s="53" t="str">
        <f t="shared" si="61"/>
        <v/>
      </c>
      <c r="D89" s="5"/>
      <c r="E89" s="26"/>
      <c r="F89" s="26"/>
      <c r="G89" s="5"/>
      <c r="H89" s="5"/>
      <c r="I89" s="4"/>
      <c r="J89" s="51">
        <f t="shared" si="60"/>
        <v>0</v>
      </c>
      <c r="K89" s="4"/>
      <c r="L89" s="4"/>
      <c r="M89" s="4"/>
      <c r="N89" s="4"/>
      <c r="O89" s="4"/>
      <c r="P89" s="4"/>
      <c r="Q89" s="26"/>
      <c r="R89" s="26"/>
      <c r="S89" s="28"/>
      <c r="T89" s="28"/>
      <c r="U89" s="28"/>
      <c r="V89" s="28"/>
      <c r="W89" s="28"/>
      <c r="X89" s="28"/>
      <c r="Y89" s="28"/>
      <c r="Z89" s="28"/>
      <c r="AA89" s="28"/>
      <c r="AB89" s="28"/>
      <c r="AC89" s="28"/>
      <c r="AD89" s="28"/>
      <c r="AE89" s="28"/>
      <c r="AF89" s="28"/>
      <c r="AG89" s="28"/>
      <c r="AH89" s="28"/>
      <c r="AI89" s="28"/>
      <c r="AJ89" s="28"/>
      <c r="AK89" s="28"/>
      <c r="AL89" s="28"/>
      <c r="AM89" s="28"/>
      <c r="AN89" s="28"/>
      <c r="AO89" s="28"/>
      <c r="AP89" s="28"/>
    </row>
    <row r="90" spans="2:42">
      <c r="B90" s="5"/>
      <c r="C90" s="53" t="str">
        <f t="shared" si="61"/>
        <v/>
      </c>
      <c r="D90" s="5"/>
      <c r="E90" s="26"/>
      <c r="F90" s="26"/>
      <c r="G90" s="5"/>
      <c r="H90" s="5"/>
      <c r="I90" s="4"/>
      <c r="J90" s="51">
        <f t="shared" si="60"/>
        <v>0</v>
      </c>
      <c r="K90" s="4"/>
      <c r="L90" s="4"/>
      <c r="M90" s="4"/>
      <c r="N90" s="4"/>
      <c r="O90" s="4"/>
      <c r="P90" s="4"/>
      <c r="Q90" s="26"/>
      <c r="R90" s="26"/>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row>
    <row r="91" spans="2:42">
      <c r="B91" s="5"/>
      <c r="C91" s="53" t="str">
        <f t="shared" si="61"/>
        <v/>
      </c>
      <c r="D91" s="5"/>
      <c r="E91" s="26"/>
      <c r="F91" s="26"/>
      <c r="G91" s="5"/>
      <c r="H91" s="5"/>
      <c r="I91" s="4"/>
      <c r="J91" s="51">
        <f t="shared" si="60"/>
        <v>0</v>
      </c>
      <c r="K91" s="4"/>
      <c r="L91" s="4"/>
      <c r="M91" s="4"/>
      <c r="N91" s="4"/>
      <c r="O91" s="4"/>
      <c r="P91" s="4"/>
      <c r="Q91" s="26"/>
      <c r="R91" s="26"/>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row>
    <row r="92" spans="2:42">
      <c r="B92" s="5"/>
      <c r="C92" s="53" t="str">
        <f t="shared" si="61"/>
        <v/>
      </c>
      <c r="D92" s="5"/>
      <c r="E92" s="26"/>
      <c r="F92" s="26"/>
      <c r="G92" s="5"/>
      <c r="H92" s="5"/>
      <c r="I92" s="4"/>
      <c r="J92" s="51">
        <f t="shared" si="60"/>
        <v>0</v>
      </c>
      <c r="K92" s="4"/>
      <c r="L92" s="4"/>
      <c r="M92" s="4"/>
      <c r="N92" s="4"/>
      <c r="O92" s="4"/>
      <c r="P92" s="4"/>
      <c r="Q92" s="26"/>
      <c r="R92" s="26"/>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row>
    <row r="93" spans="2:42">
      <c r="B93" s="5"/>
      <c r="C93" s="53" t="str">
        <f t="shared" si="61"/>
        <v/>
      </c>
      <c r="D93" s="5"/>
      <c r="E93" s="26"/>
      <c r="F93" s="26"/>
      <c r="G93" s="5"/>
      <c r="H93" s="5"/>
      <c r="I93" s="4"/>
      <c r="J93" s="51">
        <f t="shared" si="60"/>
        <v>0</v>
      </c>
      <c r="K93" s="4"/>
      <c r="L93" s="4"/>
      <c r="M93" s="4"/>
      <c r="N93" s="4"/>
      <c r="O93" s="4"/>
      <c r="P93" s="4"/>
      <c r="Q93" s="26"/>
      <c r="R93" s="26"/>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row>
    <row r="94" spans="2:42">
      <c r="B94" s="5"/>
      <c r="C94" s="53" t="str">
        <f t="shared" si="61"/>
        <v/>
      </c>
      <c r="D94" s="5"/>
      <c r="E94" s="26"/>
      <c r="F94" s="26"/>
      <c r="G94" s="5"/>
      <c r="H94" s="5"/>
      <c r="I94" s="4"/>
      <c r="J94" s="51">
        <f t="shared" si="60"/>
        <v>0</v>
      </c>
      <c r="K94" s="4"/>
      <c r="L94" s="4"/>
      <c r="M94" s="4"/>
      <c r="N94" s="4"/>
      <c r="O94" s="4"/>
      <c r="P94" s="4"/>
      <c r="Q94" s="26"/>
      <c r="R94" s="26"/>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row>
    <row r="95" spans="2:42">
      <c r="B95" s="5"/>
      <c r="C95" s="53" t="str">
        <f t="shared" si="61"/>
        <v/>
      </c>
      <c r="D95" s="5"/>
      <c r="E95" s="26"/>
      <c r="F95" s="26"/>
      <c r="G95" s="5"/>
      <c r="H95" s="5"/>
      <c r="I95" s="4"/>
      <c r="J95" s="51">
        <f t="shared" si="60"/>
        <v>0</v>
      </c>
      <c r="K95" s="4"/>
      <c r="L95" s="4"/>
      <c r="M95" s="4"/>
      <c r="N95" s="4"/>
      <c r="O95" s="4"/>
      <c r="P95" s="4"/>
      <c r="Q95" s="26"/>
      <c r="R95" s="26"/>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row>
    <row r="96" spans="2:42">
      <c r="B96" s="5"/>
      <c r="C96" s="53" t="str">
        <f t="shared" si="61"/>
        <v/>
      </c>
      <c r="D96" s="5"/>
      <c r="E96" s="26"/>
      <c r="F96" s="26"/>
      <c r="G96" s="5"/>
      <c r="H96" s="5"/>
      <c r="I96" s="4"/>
      <c r="J96" s="51">
        <f t="shared" si="60"/>
        <v>0</v>
      </c>
      <c r="K96" s="4"/>
      <c r="L96" s="4"/>
      <c r="M96" s="4"/>
      <c r="N96" s="4"/>
      <c r="O96" s="4"/>
      <c r="P96" s="4"/>
      <c r="Q96" s="26"/>
      <c r="R96" s="26"/>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row>
    <row r="97" spans="2:42">
      <c r="B97" s="5"/>
      <c r="C97" s="53" t="str">
        <f t="shared" si="61"/>
        <v/>
      </c>
      <c r="D97" s="5"/>
      <c r="E97" s="26"/>
      <c r="F97" s="26"/>
      <c r="G97" s="5"/>
      <c r="H97" s="5"/>
      <c r="I97" s="4"/>
      <c r="J97" s="51">
        <f t="shared" si="60"/>
        <v>0</v>
      </c>
      <c r="K97" s="4"/>
      <c r="L97" s="4"/>
      <c r="M97" s="4"/>
      <c r="N97" s="4"/>
      <c r="O97" s="4"/>
      <c r="P97" s="4"/>
      <c r="Q97" s="26"/>
      <c r="R97" s="26"/>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row>
    <row r="98" spans="2:42">
      <c r="B98" s="5"/>
      <c r="C98" s="53" t="str">
        <f t="shared" si="61"/>
        <v/>
      </c>
      <c r="D98" s="5"/>
      <c r="E98" s="26"/>
      <c r="F98" s="26"/>
      <c r="G98" s="5"/>
      <c r="H98" s="5"/>
      <c r="I98" s="4"/>
      <c r="J98" s="51">
        <f t="shared" si="60"/>
        <v>0</v>
      </c>
      <c r="K98" s="4"/>
      <c r="L98" s="4"/>
      <c r="M98" s="4"/>
      <c r="N98" s="4"/>
      <c r="O98" s="4"/>
      <c r="P98" s="4"/>
      <c r="Q98" s="26"/>
      <c r="R98" s="26"/>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row>
    <row r="99" spans="2:42">
      <c r="B99" s="5"/>
      <c r="C99" s="53" t="str">
        <f t="shared" si="61"/>
        <v/>
      </c>
      <c r="D99" s="5"/>
      <c r="E99" s="26"/>
      <c r="F99" s="26"/>
      <c r="G99" s="5"/>
      <c r="H99" s="5"/>
      <c r="I99" s="4"/>
      <c r="J99" s="51">
        <f t="shared" si="60"/>
        <v>0</v>
      </c>
      <c r="K99" s="4"/>
      <c r="L99" s="4"/>
      <c r="M99" s="4"/>
      <c r="N99" s="4"/>
      <c r="O99" s="4"/>
      <c r="P99" s="4"/>
      <c r="Q99" s="26"/>
      <c r="R99" s="26"/>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row>
    <row r="100" spans="2:42">
      <c r="B100" s="5"/>
      <c r="C100" s="53" t="str">
        <f t="shared" si="61"/>
        <v/>
      </c>
      <c r="D100" s="5"/>
      <c r="E100" s="26"/>
      <c r="F100" s="26"/>
      <c r="G100" s="5"/>
      <c r="H100" s="5"/>
      <c r="I100" s="4"/>
      <c r="J100" s="51">
        <f t="shared" si="60"/>
        <v>0</v>
      </c>
      <c r="K100" s="4"/>
      <c r="L100" s="4"/>
      <c r="M100" s="4"/>
      <c r="N100" s="4"/>
      <c r="O100" s="4"/>
      <c r="P100" s="4"/>
      <c r="Q100" s="26"/>
      <c r="R100" s="26"/>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row>
  </sheetData>
  <sheetProtection insertRows="0" autoFilter="0"/>
  <autoFilter ref="B39:AP76"/>
  <dataConsolidate/>
  <mergeCells count="6">
    <mergeCell ref="B26:B32"/>
    <mergeCell ref="C26:C27"/>
    <mergeCell ref="C28:C32"/>
    <mergeCell ref="B33:B36"/>
    <mergeCell ref="C33:C34"/>
    <mergeCell ref="C35:C36"/>
  </mergeCells>
  <phoneticPr fontId="15" type="noConversion"/>
  <conditionalFormatting sqref="O78:P90 B78:N122">
    <cfRule type="expression" dxfId="41" priority="65" stopIfTrue="1">
      <formula>$N78="InProgress"</formula>
    </cfRule>
    <cfRule type="expression" dxfId="40" priority="66" stopIfTrue="1">
      <formula>$N78="Completed"</formula>
    </cfRule>
  </conditionalFormatting>
  <conditionalFormatting sqref="B40:D100 G40:P100">
    <cfRule type="expression" dxfId="39" priority="69" stopIfTrue="1">
      <formula>$P40="InProgress"</formula>
    </cfRule>
    <cfRule type="expression" dxfId="38" priority="70" stopIfTrue="1">
      <formula>$P40="Completed"</formula>
    </cfRule>
  </conditionalFormatting>
  <conditionalFormatting sqref="W10:BA10 L39:AP39">
    <cfRule type="notContainsBlanks" dxfId="37" priority="12">
      <formula>LEN(TRIM(L10))&gt;0</formula>
    </cfRule>
  </conditionalFormatting>
  <conditionalFormatting sqref="W23:BA24">
    <cfRule type="notContainsBlanks" dxfId="36" priority="10">
      <formula>LEN(TRIM(W23))&gt;0</formula>
    </cfRule>
  </conditionalFormatting>
  <conditionalFormatting sqref="L40:AP76">
    <cfRule type="expression" dxfId="35" priority="7">
      <formula>WEEKDAY(L$39)=7</formula>
    </cfRule>
    <cfRule type="expression" dxfId="34" priority="8">
      <formula>WEEKDAY(L$39)=1</formula>
    </cfRule>
  </conditionalFormatting>
  <conditionalFormatting sqref="W11:BA22">
    <cfRule type="expression" dxfId="33" priority="5">
      <formula>WEEKDAY(L$39)=7</formula>
    </cfRule>
    <cfRule type="expression" dxfId="32" priority="6">
      <formula>WEEKDAY(L$39)=1</formula>
    </cfRule>
  </conditionalFormatting>
  <conditionalFormatting sqref="L77:AP100">
    <cfRule type="expression" dxfId="31" priority="3">
      <formula>WEEKDAY(L$39)=7</formula>
    </cfRule>
    <cfRule type="expression" dxfId="30" priority="4">
      <formula>WEEKDAY(L$39)=1</formula>
    </cfRule>
  </conditionalFormatting>
  <conditionalFormatting sqref="W22:BA22">
    <cfRule type="expression" dxfId="29" priority="1">
      <formula>WEEKDAY(L$39)=7</formula>
    </cfRule>
    <cfRule type="expression" dxfId="28" priority="2">
      <formula>WEEKDAY(L$39)=1</formula>
    </cfRule>
  </conditionalFormatting>
  <dataValidations count="10">
    <dataValidation type="list" allowBlank="1" showInputMessage="1" showErrorMessage="1" sqref="WVV983080:WVV983103 WLZ983080:WLZ983103 WCD983080:WCD983103 VSH983080:VSH983103 VIL983080:VIL983103 UYP983080:UYP983103 UOT983080:UOT983103 UEX983080:UEX983103 TVB983080:TVB983103 TLF983080:TLF983103 TBJ983080:TBJ983103 SRN983080:SRN983103 SHR983080:SHR983103 RXV983080:RXV983103 RNZ983080:RNZ983103 RED983080:RED983103 QUH983080:QUH983103 QKL983080:QKL983103 QAP983080:QAP983103 PQT983080:PQT983103 PGX983080:PGX983103 OXB983080:OXB983103 ONF983080:ONF983103 ODJ983080:ODJ983103 NTN983080:NTN983103 NJR983080:NJR983103 MZV983080:MZV983103 MPZ983080:MPZ983103 MGD983080:MGD983103 LWH983080:LWH983103 LML983080:LML983103 LCP983080:LCP983103 KST983080:KST983103 KIX983080:KIX983103 JZB983080:JZB983103 JPF983080:JPF983103 JFJ983080:JFJ983103 IVN983080:IVN983103 ILR983080:ILR983103 IBV983080:IBV983103 HRZ983080:HRZ983103 HID983080:HID983103 GYH983080:GYH983103 GOL983080:GOL983103 GEP983080:GEP983103 FUT983080:FUT983103 FKX983080:FKX983103 FBB983080:FBB983103 ERF983080:ERF983103 EHJ983080:EHJ983103 DXN983080:DXN983103 DNR983080:DNR983103 DDV983080:DDV983103 CTZ983080:CTZ983103 CKD983080:CKD983103 CAH983080:CAH983103 BQL983080:BQL983103 BGP983080:BGP983103 AWT983080:AWT983103 AMX983080:AMX983103 ADB983080:ADB983103 TF983080:TF983103 JJ983080:JJ983103 N983080:N983103 WVV917544:WVV917567 WLZ917544:WLZ917567 WCD917544:WCD917567 VSH917544:VSH917567 VIL917544:VIL917567 UYP917544:UYP917567 UOT917544:UOT917567 UEX917544:UEX917567 TVB917544:TVB917567 TLF917544:TLF917567 TBJ917544:TBJ917567 SRN917544:SRN917567 SHR917544:SHR917567 RXV917544:RXV917567 RNZ917544:RNZ917567 RED917544:RED917567 QUH917544:QUH917567 QKL917544:QKL917567 QAP917544:QAP917567 PQT917544:PQT917567 PGX917544:PGX917567 OXB917544:OXB917567 ONF917544:ONF917567 ODJ917544:ODJ917567 NTN917544:NTN917567 NJR917544:NJR917567 MZV917544:MZV917567 MPZ917544:MPZ917567 MGD917544:MGD917567 LWH917544:LWH917567 LML917544:LML917567 LCP917544:LCP917567 KST917544:KST917567 KIX917544:KIX917567 JZB917544:JZB917567 JPF917544:JPF917567 JFJ917544:JFJ917567 IVN917544:IVN917567 ILR917544:ILR917567 IBV917544:IBV917567 HRZ917544:HRZ917567 HID917544:HID917567 GYH917544:GYH917567 GOL917544:GOL917567 GEP917544:GEP917567 FUT917544:FUT917567 FKX917544:FKX917567 FBB917544:FBB917567 ERF917544:ERF917567 EHJ917544:EHJ917567 DXN917544:DXN917567 DNR917544:DNR917567 DDV917544:DDV917567 CTZ917544:CTZ917567 CKD917544:CKD917567 CAH917544:CAH917567 BQL917544:BQL917567 BGP917544:BGP917567 AWT917544:AWT917567 AMX917544:AMX917567 ADB917544:ADB917567 TF917544:TF917567 JJ917544:JJ917567 N917544:N917567 WVV852008:WVV852031 WLZ852008:WLZ852031 WCD852008:WCD852031 VSH852008:VSH852031 VIL852008:VIL852031 UYP852008:UYP852031 UOT852008:UOT852031 UEX852008:UEX852031 TVB852008:TVB852031 TLF852008:TLF852031 TBJ852008:TBJ852031 SRN852008:SRN852031 SHR852008:SHR852031 RXV852008:RXV852031 RNZ852008:RNZ852031 RED852008:RED852031 QUH852008:QUH852031 QKL852008:QKL852031 QAP852008:QAP852031 PQT852008:PQT852031 PGX852008:PGX852031 OXB852008:OXB852031 ONF852008:ONF852031 ODJ852008:ODJ852031 NTN852008:NTN852031 NJR852008:NJR852031 MZV852008:MZV852031 MPZ852008:MPZ852031 MGD852008:MGD852031 LWH852008:LWH852031 LML852008:LML852031 LCP852008:LCP852031 KST852008:KST852031 KIX852008:KIX852031 JZB852008:JZB852031 JPF852008:JPF852031 JFJ852008:JFJ852031 IVN852008:IVN852031 ILR852008:ILR852031 IBV852008:IBV852031 HRZ852008:HRZ852031 HID852008:HID852031 GYH852008:GYH852031 GOL852008:GOL852031 GEP852008:GEP852031 FUT852008:FUT852031 FKX852008:FKX852031 FBB852008:FBB852031 ERF852008:ERF852031 EHJ852008:EHJ852031 DXN852008:DXN852031 DNR852008:DNR852031 DDV852008:DDV852031 CTZ852008:CTZ852031 CKD852008:CKD852031 CAH852008:CAH852031 BQL852008:BQL852031 BGP852008:BGP852031 AWT852008:AWT852031 AMX852008:AMX852031 ADB852008:ADB852031 TF852008:TF852031 JJ852008:JJ852031 N852008:N852031 WVV786472:WVV786495 WLZ786472:WLZ786495 WCD786472:WCD786495 VSH786472:VSH786495 VIL786472:VIL786495 UYP786472:UYP786495 UOT786472:UOT786495 UEX786472:UEX786495 TVB786472:TVB786495 TLF786472:TLF786495 TBJ786472:TBJ786495 SRN786472:SRN786495 SHR786472:SHR786495 RXV786472:RXV786495 RNZ786472:RNZ786495 RED786472:RED786495 QUH786472:QUH786495 QKL786472:QKL786495 QAP786472:QAP786495 PQT786472:PQT786495 PGX786472:PGX786495 OXB786472:OXB786495 ONF786472:ONF786495 ODJ786472:ODJ786495 NTN786472:NTN786495 NJR786472:NJR786495 MZV786472:MZV786495 MPZ786472:MPZ786495 MGD786472:MGD786495 LWH786472:LWH786495 LML786472:LML786495 LCP786472:LCP786495 KST786472:KST786495 KIX786472:KIX786495 JZB786472:JZB786495 JPF786472:JPF786495 JFJ786472:JFJ786495 IVN786472:IVN786495 ILR786472:ILR786495 IBV786472:IBV786495 HRZ786472:HRZ786495 HID786472:HID786495 GYH786472:GYH786495 GOL786472:GOL786495 GEP786472:GEP786495 FUT786472:FUT786495 FKX786472:FKX786495 FBB786472:FBB786495 ERF786472:ERF786495 EHJ786472:EHJ786495 DXN786472:DXN786495 DNR786472:DNR786495 DDV786472:DDV786495 CTZ786472:CTZ786495 CKD786472:CKD786495 CAH786472:CAH786495 BQL786472:BQL786495 BGP786472:BGP786495 AWT786472:AWT786495 AMX786472:AMX786495 ADB786472:ADB786495 TF786472:TF786495 JJ786472:JJ786495 N786472:N786495 WVV720936:WVV720959 WLZ720936:WLZ720959 WCD720936:WCD720959 VSH720936:VSH720959 VIL720936:VIL720959 UYP720936:UYP720959 UOT720936:UOT720959 UEX720936:UEX720959 TVB720936:TVB720959 TLF720936:TLF720959 TBJ720936:TBJ720959 SRN720936:SRN720959 SHR720936:SHR720959 RXV720936:RXV720959 RNZ720936:RNZ720959 RED720936:RED720959 QUH720936:QUH720959 QKL720936:QKL720959 QAP720936:QAP720959 PQT720936:PQT720959 PGX720936:PGX720959 OXB720936:OXB720959 ONF720936:ONF720959 ODJ720936:ODJ720959 NTN720936:NTN720959 NJR720936:NJR720959 MZV720936:MZV720959 MPZ720936:MPZ720959 MGD720936:MGD720959 LWH720936:LWH720959 LML720936:LML720959 LCP720936:LCP720959 KST720936:KST720959 KIX720936:KIX720959 JZB720936:JZB720959 JPF720936:JPF720959 JFJ720936:JFJ720959 IVN720936:IVN720959 ILR720936:ILR720959 IBV720936:IBV720959 HRZ720936:HRZ720959 HID720936:HID720959 GYH720936:GYH720959 GOL720936:GOL720959 GEP720936:GEP720959 FUT720936:FUT720959 FKX720936:FKX720959 FBB720936:FBB720959 ERF720936:ERF720959 EHJ720936:EHJ720959 DXN720936:DXN720959 DNR720936:DNR720959 DDV720936:DDV720959 CTZ720936:CTZ720959 CKD720936:CKD720959 CAH720936:CAH720959 BQL720936:BQL720959 BGP720936:BGP720959 AWT720936:AWT720959 AMX720936:AMX720959 ADB720936:ADB720959 TF720936:TF720959 JJ720936:JJ720959 N720936:N720959 WVV655400:WVV655423 WLZ655400:WLZ655423 WCD655400:WCD655423 VSH655400:VSH655423 VIL655400:VIL655423 UYP655400:UYP655423 UOT655400:UOT655423 UEX655400:UEX655423 TVB655400:TVB655423 TLF655400:TLF655423 TBJ655400:TBJ655423 SRN655400:SRN655423 SHR655400:SHR655423 RXV655400:RXV655423 RNZ655400:RNZ655423 RED655400:RED655423 QUH655400:QUH655423 QKL655400:QKL655423 QAP655400:QAP655423 PQT655400:PQT655423 PGX655400:PGX655423 OXB655400:OXB655423 ONF655400:ONF655423 ODJ655400:ODJ655423 NTN655400:NTN655423 NJR655400:NJR655423 MZV655400:MZV655423 MPZ655400:MPZ655423 MGD655400:MGD655423 LWH655400:LWH655423 LML655400:LML655423 LCP655400:LCP655423 KST655400:KST655423 KIX655400:KIX655423 JZB655400:JZB655423 JPF655400:JPF655423 JFJ655400:JFJ655423 IVN655400:IVN655423 ILR655400:ILR655423 IBV655400:IBV655423 HRZ655400:HRZ655423 HID655400:HID655423 GYH655400:GYH655423 GOL655400:GOL655423 GEP655400:GEP655423 FUT655400:FUT655423 FKX655400:FKX655423 FBB655400:FBB655423 ERF655400:ERF655423 EHJ655400:EHJ655423 DXN655400:DXN655423 DNR655400:DNR655423 DDV655400:DDV655423 CTZ655400:CTZ655423 CKD655400:CKD655423 CAH655400:CAH655423 BQL655400:BQL655423 BGP655400:BGP655423 AWT655400:AWT655423 AMX655400:AMX655423 ADB655400:ADB655423 TF655400:TF655423 JJ655400:JJ655423 N655400:N655423 WVV589864:WVV589887 WLZ589864:WLZ589887 WCD589864:WCD589887 VSH589864:VSH589887 VIL589864:VIL589887 UYP589864:UYP589887 UOT589864:UOT589887 UEX589864:UEX589887 TVB589864:TVB589887 TLF589864:TLF589887 TBJ589864:TBJ589887 SRN589864:SRN589887 SHR589864:SHR589887 RXV589864:RXV589887 RNZ589864:RNZ589887 RED589864:RED589887 QUH589864:QUH589887 QKL589864:QKL589887 QAP589864:QAP589887 PQT589864:PQT589887 PGX589864:PGX589887 OXB589864:OXB589887 ONF589864:ONF589887 ODJ589864:ODJ589887 NTN589864:NTN589887 NJR589864:NJR589887 MZV589864:MZV589887 MPZ589864:MPZ589887 MGD589864:MGD589887 LWH589864:LWH589887 LML589864:LML589887 LCP589864:LCP589887 KST589864:KST589887 KIX589864:KIX589887 JZB589864:JZB589887 JPF589864:JPF589887 JFJ589864:JFJ589887 IVN589864:IVN589887 ILR589864:ILR589887 IBV589864:IBV589887 HRZ589864:HRZ589887 HID589864:HID589887 GYH589864:GYH589887 GOL589864:GOL589887 GEP589864:GEP589887 FUT589864:FUT589887 FKX589864:FKX589887 FBB589864:FBB589887 ERF589864:ERF589887 EHJ589864:EHJ589887 DXN589864:DXN589887 DNR589864:DNR589887 DDV589864:DDV589887 CTZ589864:CTZ589887 CKD589864:CKD589887 CAH589864:CAH589887 BQL589864:BQL589887 BGP589864:BGP589887 AWT589864:AWT589887 AMX589864:AMX589887 ADB589864:ADB589887 TF589864:TF589887 JJ589864:JJ589887 N589864:N589887 WVV524328:WVV524351 WLZ524328:WLZ524351 WCD524328:WCD524351 VSH524328:VSH524351 VIL524328:VIL524351 UYP524328:UYP524351 UOT524328:UOT524351 UEX524328:UEX524351 TVB524328:TVB524351 TLF524328:TLF524351 TBJ524328:TBJ524351 SRN524328:SRN524351 SHR524328:SHR524351 RXV524328:RXV524351 RNZ524328:RNZ524351 RED524328:RED524351 QUH524328:QUH524351 QKL524328:QKL524351 QAP524328:QAP524351 PQT524328:PQT524351 PGX524328:PGX524351 OXB524328:OXB524351 ONF524328:ONF524351 ODJ524328:ODJ524351 NTN524328:NTN524351 NJR524328:NJR524351 MZV524328:MZV524351 MPZ524328:MPZ524351 MGD524328:MGD524351 LWH524328:LWH524351 LML524328:LML524351 LCP524328:LCP524351 KST524328:KST524351 KIX524328:KIX524351 JZB524328:JZB524351 JPF524328:JPF524351 JFJ524328:JFJ524351 IVN524328:IVN524351 ILR524328:ILR524351 IBV524328:IBV524351 HRZ524328:HRZ524351 HID524328:HID524351 GYH524328:GYH524351 GOL524328:GOL524351 GEP524328:GEP524351 FUT524328:FUT524351 FKX524328:FKX524351 FBB524328:FBB524351 ERF524328:ERF524351 EHJ524328:EHJ524351 DXN524328:DXN524351 DNR524328:DNR524351 DDV524328:DDV524351 CTZ524328:CTZ524351 CKD524328:CKD524351 CAH524328:CAH524351 BQL524328:BQL524351 BGP524328:BGP524351 AWT524328:AWT524351 AMX524328:AMX524351 ADB524328:ADB524351 TF524328:TF524351 JJ524328:JJ524351 N524328:N524351 WVV458792:WVV458815 WLZ458792:WLZ458815 WCD458792:WCD458815 VSH458792:VSH458815 VIL458792:VIL458815 UYP458792:UYP458815 UOT458792:UOT458815 UEX458792:UEX458815 TVB458792:TVB458815 TLF458792:TLF458815 TBJ458792:TBJ458815 SRN458792:SRN458815 SHR458792:SHR458815 RXV458792:RXV458815 RNZ458792:RNZ458815 RED458792:RED458815 QUH458792:QUH458815 QKL458792:QKL458815 QAP458792:QAP458815 PQT458792:PQT458815 PGX458792:PGX458815 OXB458792:OXB458815 ONF458792:ONF458815 ODJ458792:ODJ458815 NTN458792:NTN458815 NJR458792:NJR458815 MZV458792:MZV458815 MPZ458792:MPZ458815 MGD458792:MGD458815 LWH458792:LWH458815 LML458792:LML458815 LCP458792:LCP458815 KST458792:KST458815 KIX458792:KIX458815 JZB458792:JZB458815 JPF458792:JPF458815 JFJ458792:JFJ458815 IVN458792:IVN458815 ILR458792:ILR458815 IBV458792:IBV458815 HRZ458792:HRZ458815 HID458792:HID458815 GYH458792:GYH458815 GOL458792:GOL458815 GEP458792:GEP458815 FUT458792:FUT458815 FKX458792:FKX458815 FBB458792:FBB458815 ERF458792:ERF458815 EHJ458792:EHJ458815 DXN458792:DXN458815 DNR458792:DNR458815 DDV458792:DDV458815 CTZ458792:CTZ458815 CKD458792:CKD458815 CAH458792:CAH458815 BQL458792:BQL458815 BGP458792:BGP458815 AWT458792:AWT458815 AMX458792:AMX458815 ADB458792:ADB458815 TF458792:TF458815 JJ458792:JJ458815 N458792:N458815 WVV393256:WVV393279 WLZ393256:WLZ393279 WCD393256:WCD393279 VSH393256:VSH393279 VIL393256:VIL393279 UYP393256:UYP393279 UOT393256:UOT393279 UEX393256:UEX393279 TVB393256:TVB393279 TLF393256:TLF393279 TBJ393256:TBJ393279 SRN393256:SRN393279 SHR393256:SHR393279 RXV393256:RXV393279 RNZ393256:RNZ393279 RED393256:RED393279 QUH393256:QUH393279 QKL393256:QKL393279 QAP393256:QAP393279 PQT393256:PQT393279 PGX393256:PGX393279 OXB393256:OXB393279 ONF393256:ONF393279 ODJ393256:ODJ393279 NTN393256:NTN393279 NJR393256:NJR393279 MZV393256:MZV393279 MPZ393256:MPZ393279 MGD393256:MGD393279 LWH393256:LWH393279 LML393256:LML393279 LCP393256:LCP393279 KST393256:KST393279 KIX393256:KIX393279 JZB393256:JZB393279 JPF393256:JPF393279 JFJ393256:JFJ393279 IVN393256:IVN393279 ILR393256:ILR393279 IBV393256:IBV393279 HRZ393256:HRZ393279 HID393256:HID393279 GYH393256:GYH393279 GOL393256:GOL393279 GEP393256:GEP393279 FUT393256:FUT393279 FKX393256:FKX393279 FBB393256:FBB393279 ERF393256:ERF393279 EHJ393256:EHJ393279 DXN393256:DXN393279 DNR393256:DNR393279 DDV393256:DDV393279 CTZ393256:CTZ393279 CKD393256:CKD393279 CAH393256:CAH393279 BQL393256:BQL393279 BGP393256:BGP393279 AWT393256:AWT393279 AMX393256:AMX393279 ADB393256:ADB393279 TF393256:TF393279 JJ393256:JJ393279 N393256:N393279 WVV327720:WVV327743 WLZ327720:WLZ327743 WCD327720:WCD327743 VSH327720:VSH327743 VIL327720:VIL327743 UYP327720:UYP327743 UOT327720:UOT327743 UEX327720:UEX327743 TVB327720:TVB327743 TLF327720:TLF327743 TBJ327720:TBJ327743 SRN327720:SRN327743 SHR327720:SHR327743 RXV327720:RXV327743 RNZ327720:RNZ327743 RED327720:RED327743 QUH327720:QUH327743 QKL327720:QKL327743 QAP327720:QAP327743 PQT327720:PQT327743 PGX327720:PGX327743 OXB327720:OXB327743 ONF327720:ONF327743 ODJ327720:ODJ327743 NTN327720:NTN327743 NJR327720:NJR327743 MZV327720:MZV327743 MPZ327720:MPZ327743 MGD327720:MGD327743 LWH327720:LWH327743 LML327720:LML327743 LCP327720:LCP327743 KST327720:KST327743 KIX327720:KIX327743 JZB327720:JZB327743 JPF327720:JPF327743 JFJ327720:JFJ327743 IVN327720:IVN327743 ILR327720:ILR327743 IBV327720:IBV327743 HRZ327720:HRZ327743 HID327720:HID327743 GYH327720:GYH327743 GOL327720:GOL327743 GEP327720:GEP327743 FUT327720:FUT327743 FKX327720:FKX327743 FBB327720:FBB327743 ERF327720:ERF327743 EHJ327720:EHJ327743 DXN327720:DXN327743 DNR327720:DNR327743 DDV327720:DDV327743 CTZ327720:CTZ327743 CKD327720:CKD327743 CAH327720:CAH327743 BQL327720:BQL327743 BGP327720:BGP327743 AWT327720:AWT327743 AMX327720:AMX327743 ADB327720:ADB327743 TF327720:TF327743 JJ327720:JJ327743 N327720:N327743 WVV262184:WVV262207 WLZ262184:WLZ262207 WCD262184:WCD262207 VSH262184:VSH262207 VIL262184:VIL262207 UYP262184:UYP262207 UOT262184:UOT262207 UEX262184:UEX262207 TVB262184:TVB262207 TLF262184:TLF262207 TBJ262184:TBJ262207 SRN262184:SRN262207 SHR262184:SHR262207 RXV262184:RXV262207 RNZ262184:RNZ262207 RED262184:RED262207 QUH262184:QUH262207 QKL262184:QKL262207 QAP262184:QAP262207 PQT262184:PQT262207 PGX262184:PGX262207 OXB262184:OXB262207 ONF262184:ONF262207 ODJ262184:ODJ262207 NTN262184:NTN262207 NJR262184:NJR262207 MZV262184:MZV262207 MPZ262184:MPZ262207 MGD262184:MGD262207 LWH262184:LWH262207 LML262184:LML262207 LCP262184:LCP262207 KST262184:KST262207 KIX262184:KIX262207 JZB262184:JZB262207 JPF262184:JPF262207 JFJ262184:JFJ262207 IVN262184:IVN262207 ILR262184:ILR262207 IBV262184:IBV262207 HRZ262184:HRZ262207 HID262184:HID262207 GYH262184:GYH262207 GOL262184:GOL262207 GEP262184:GEP262207 FUT262184:FUT262207 FKX262184:FKX262207 FBB262184:FBB262207 ERF262184:ERF262207 EHJ262184:EHJ262207 DXN262184:DXN262207 DNR262184:DNR262207 DDV262184:DDV262207 CTZ262184:CTZ262207 CKD262184:CKD262207 CAH262184:CAH262207 BQL262184:BQL262207 BGP262184:BGP262207 AWT262184:AWT262207 AMX262184:AMX262207 ADB262184:ADB262207 TF262184:TF262207 JJ262184:JJ262207 N262184:N262207 WVV196648:WVV196671 WLZ196648:WLZ196671 WCD196648:WCD196671 VSH196648:VSH196671 VIL196648:VIL196671 UYP196648:UYP196671 UOT196648:UOT196671 UEX196648:UEX196671 TVB196648:TVB196671 TLF196648:TLF196671 TBJ196648:TBJ196671 SRN196648:SRN196671 SHR196648:SHR196671 RXV196648:RXV196671 RNZ196648:RNZ196671 RED196648:RED196671 QUH196648:QUH196671 QKL196648:QKL196671 QAP196648:QAP196671 PQT196648:PQT196671 PGX196648:PGX196671 OXB196648:OXB196671 ONF196648:ONF196671 ODJ196648:ODJ196671 NTN196648:NTN196671 NJR196648:NJR196671 MZV196648:MZV196671 MPZ196648:MPZ196671 MGD196648:MGD196671 LWH196648:LWH196671 LML196648:LML196671 LCP196648:LCP196671 KST196648:KST196671 KIX196648:KIX196671 JZB196648:JZB196671 JPF196648:JPF196671 JFJ196648:JFJ196671 IVN196648:IVN196671 ILR196648:ILR196671 IBV196648:IBV196671 HRZ196648:HRZ196671 HID196648:HID196671 GYH196648:GYH196671 GOL196648:GOL196671 GEP196648:GEP196671 FUT196648:FUT196671 FKX196648:FKX196671 FBB196648:FBB196671 ERF196648:ERF196671 EHJ196648:EHJ196671 DXN196648:DXN196671 DNR196648:DNR196671 DDV196648:DDV196671 CTZ196648:CTZ196671 CKD196648:CKD196671 CAH196648:CAH196671 BQL196648:BQL196671 BGP196648:BGP196671 AWT196648:AWT196671 AMX196648:AMX196671 ADB196648:ADB196671 TF196648:TF196671 JJ196648:JJ196671 N196648:N196671 WVV131112:WVV131135 WLZ131112:WLZ131135 WCD131112:WCD131135 VSH131112:VSH131135 VIL131112:VIL131135 UYP131112:UYP131135 UOT131112:UOT131135 UEX131112:UEX131135 TVB131112:TVB131135 TLF131112:TLF131135 TBJ131112:TBJ131135 SRN131112:SRN131135 SHR131112:SHR131135 RXV131112:RXV131135 RNZ131112:RNZ131135 RED131112:RED131135 QUH131112:QUH131135 QKL131112:QKL131135 QAP131112:QAP131135 PQT131112:PQT131135 PGX131112:PGX131135 OXB131112:OXB131135 ONF131112:ONF131135 ODJ131112:ODJ131135 NTN131112:NTN131135 NJR131112:NJR131135 MZV131112:MZV131135 MPZ131112:MPZ131135 MGD131112:MGD131135 LWH131112:LWH131135 LML131112:LML131135 LCP131112:LCP131135 KST131112:KST131135 KIX131112:KIX131135 JZB131112:JZB131135 JPF131112:JPF131135 JFJ131112:JFJ131135 IVN131112:IVN131135 ILR131112:ILR131135 IBV131112:IBV131135 HRZ131112:HRZ131135 HID131112:HID131135 GYH131112:GYH131135 GOL131112:GOL131135 GEP131112:GEP131135 FUT131112:FUT131135 FKX131112:FKX131135 FBB131112:FBB131135 ERF131112:ERF131135 EHJ131112:EHJ131135 DXN131112:DXN131135 DNR131112:DNR131135 DDV131112:DDV131135 CTZ131112:CTZ131135 CKD131112:CKD131135 CAH131112:CAH131135 BQL131112:BQL131135 BGP131112:BGP131135 AWT131112:AWT131135 AMX131112:AMX131135 ADB131112:ADB131135 TF131112:TF131135 JJ131112:JJ131135 N131112:N131135 WVV65576:WVV65599 WLZ65576:WLZ65599 WCD65576:WCD65599 VSH65576:VSH65599 VIL65576:VIL65599 UYP65576:UYP65599 UOT65576:UOT65599 UEX65576:UEX65599 TVB65576:TVB65599 TLF65576:TLF65599 TBJ65576:TBJ65599 SRN65576:SRN65599 SHR65576:SHR65599 RXV65576:RXV65599 RNZ65576:RNZ65599 RED65576:RED65599 QUH65576:QUH65599 QKL65576:QKL65599 QAP65576:QAP65599 PQT65576:PQT65599 PGX65576:PGX65599 OXB65576:OXB65599 ONF65576:ONF65599 ODJ65576:ODJ65599 NTN65576:NTN65599 NJR65576:NJR65599 MZV65576:MZV65599 MPZ65576:MPZ65599 MGD65576:MGD65599 LWH65576:LWH65599 LML65576:LML65599 LCP65576:LCP65599 KST65576:KST65599 KIX65576:KIX65599 JZB65576:JZB65599 JPF65576:JPF65599 JFJ65576:JFJ65599 IVN65576:IVN65599 ILR65576:ILR65599 IBV65576:IBV65599 HRZ65576:HRZ65599 HID65576:HID65599 GYH65576:GYH65599 GOL65576:GOL65599 GEP65576:GEP65599 FUT65576:FUT65599 FKX65576:FKX65599 FBB65576:FBB65599 ERF65576:ERF65599 EHJ65576:EHJ65599 DXN65576:DXN65599 DNR65576:DNR65599 DDV65576:DDV65599 CTZ65576:CTZ65599 CKD65576:CKD65599 CAH65576:CAH65599 BQL65576:BQL65599 BGP65576:BGP65599 AWT65576:AWT65599 AMX65576:AMX65599 ADB65576:ADB65599 TF65576:TF65599 JJ65576:JJ65599 N65576:N65599 WVV40:WVV63 WLZ40:WLZ63 WCD40:WCD63 VSH40:VSH63 VIL40:VIL63 UYP40:UYP63 UOT40:UOT63 UEX40:UEX63 TVB40:TVB63 TLF40:TLF63 TBJ40:TBJ63 SRN40:SRN63 SHR40:SHR63 RXV40:RXV63 RNZ40:RNZ63 RED40:RED63 QUH40:QUH63 QKL40:QKL63 QAP40:QAP63 PQT40:PQT63 PGX40:PGX63 OXB40:OXB63 ONF40:ONF63 ODJ40:ODJ63 NTN40:NTN63 NJR40:NJR63 MZV40:MZV63 MPZ40:MPZ63 MGD40:MGD63 LWH40:LWH63 LML40:LML63 LCP40:LCP63 KST40:KST63 KIX40:KIX63 JZB40:JZB63 JPF40:JPF63 JFJ40:JFJ63 IVN40:IVN63 ILR40:ILR63 IBV40:IBV63 HRZ40:HRZ63 HID40:HID63 GYH40:GYH63 GOL40:GOL63 GEP40:GEP63 FUT40:FUT63 FKX40:FKX63 FBB40:FBB63 ERF40:ERF63 EHJ40:EHJ63 DXN40:DXN63 DNR40:DNR63 DDV40:DDV63 CTZ40:CTZ63 CKD40:CKD63 CAH40:CAH63 BQL40:BQL63 BGP40:BGP63 AWT40:AWT63 AMX40:AMX63 ADB40:ADB63 TF40:TF63 JJ40:JJ63">
      <formula1>Status1</formula1>
    </dataValidation>
    <dataValidation type="list" allowBlank="1" showInputMessage="1" showErrorMessage="1" sqref="WWH983079 WML983079 WCP983079 VST983079 VIX983079 UZB983079 UPF983079 UFJ983079 TVN983079 TLR983079 TBV983079 SRZ983079 SID983079 RYH983079 ROL983079 REP983079 QUT983079 QKX983079 QBB983079 PRF983079 PHJ983079 OXN983079 ONR983079 ODV983079 NTZ983079 NKD983079 NAH983079 MQL983079 MGP983079 LWT983079 LMX983079 LDB983079 KTF983079 KJJ983079 JZN983079 JPR983079 JFV983079 IVZ983079 IMD983079 ICH983079 HSL983079 HIP983079 GYT983079 GOX983079 GFB983079 FVF983079 FLJ983079 FBN983079 ERR983079 EHV983079 DXZ983079 DOD983079 DEH983079 CUL983079 CKP983079 CAT983079 BQX983079 BHB983079 AXF983079 ANJ983079 ADN983079 TR983079 JV983079 Z983079 WWH917543 WML917543 WCP917543 VST917543 VIX917543 UZB917543 UPF917543 UFJ917543 TVN917543 TLR917543 TBV917543 SRZ917543 SID917543 RYH917543 ROL917543 REP917543 QUT917543 QKX917543 QBB917543 PRF917543 PHJ917543 OXN917543 ONR917543 ODV917543 NTZ917543 NKD917543 NAH917543 MQL917543 MGP917543 LWT917543 LMX917543 LDB917543 KTF917543 KJJ917543 JZN917543 JPR917543 JFV917543 IVZ917543 IMD917543 ICH917543 HSL917543 HIP917543 GYT917543 GOX917543 GFB917543 FVF917543 FLJ917543 FBN917543 ERR917543 EHV917543 DXZ917543 DOD917543 DEH917543 CUL917543 CKP917543 CAT917543 BQX917543 BHB917543 AXF917543 ANJ917543 ADN917543 TR917543 JV917543 Z917543 WWH852007 WML852007 WCP852007 VST852007 VIX852007 UZB852007 UPF852007 UFJ852007 TVN852007 TLR852007 TBV852007 SRZ852007 SID852007 RYH852007 ROL852007 REP852007 QUT852007 QKX852007 QBB852007 PRF852007 PHJ852007 OXN852007 ONR852007 ODV852007 NTZ852007 NKD852007 NAH852007 MQL852007 MGP852007 LWT852007 LMX852007 LDB852007 KTF852007 KJJ852007 JZN852007 JPR852007 JFV852007 IVZ852007 IMD852007 ICH852007 HSL852007 HIP852007 GYT852007 GOX852007 GFB852007 FVF852007 FLJ852007 FBN852007 ERR852007 EHV852007 DXZ852007 DOD852007 DEH852007 CUL852007 CKP852007 CAT852007 BQX852007 BHB852007 AXF852007 ANJ852007 ADN852007 TR852007 JV852007 Z852007 WWH786471 WML786471 WCP786471 VST786471 VIX786471 UZB786471 UPF786471 UFJ786471 TVN786471 TLR786471 TBV786471 SRZ786471 SID786471 RYH786471 ROL786471 REP786471 QUT786471 QKX786471 QBB786471 PRF786471 PHJ786471 OXN786471 ONR786471 ODV786471 NTZ786471 NKD786471 NAH786471 MQL786471 MGP786471 LWT786471 LMX786471 LDB786471 KTF786471 KJJ786471 JZN786471 JPR786471 JFV786471 IVZ786471 IMD786471 ICH786471 HSL786471 HIP786471 GYT786471 GOX786471 GFB786471 FVF786471 FLJ786471 FBN786471 ERR786471 EHV786471 DXZ786471 DOD786471 DEH786471 CUL786471 CKP786471 CAT786471 BQX786471 BHB786471 AXF786471 ANJ786471 ADN786471 TR786471 JV786471 Z786471 WWH720935 WML720935 WCP720935 VST720935 VIX720935 UZB720935 UPF720935 UFJ720935 TVN720935 TLR720935 TBV720935 SRZ720935 SID720935 RYH720935 ROL720935 REP720935 QUT720935 QKX720935 QBB720935 PRF720935 PHJ720935 OXN720935 ONR720935 ODV720935 NTZ720935 NKD720935 NAH720935 MQL720935 MGP720935 LWT720935 LMX720935 LDB720935 KTF720935 KJJ720935 JZN720935 JPR720935 JFV720935 IVZ720935 IMD720935 ICH720935 HSL720935 HIP720935 GYT720935 GOX720935 GFB720935 FVF720935 FLJ720935 FBN720935 ERR720935 EHV720935 DXZ720935 DOD720935 DEH720935 CUL720935 CKP720935 CAT720935 BQX720935 BHB720935 AXF720935 ANJ720935 ADN720935 TR720935 JV720935 Z720935 WWH655399 WML655399 WCP655399 VST655399 VIX655399 UZB655399 UPF655399 UFJ655399 TVN655399 TLR655399 TBV655399 SRZ655399 SID655399 RYH655399 ROL655399 REP655399 QUT655399 QKX655399 QBB655399 PRF655399 PHJ655399 OXN655399 ONR655399 ODV655399 NTZ655399 NKD655399 NAH655399 MQL655399 MGP655399 LWT655399 LMX655399 LDB655399 KTF655399 KJJ655399 JZN655399 JPR655399 JFV655399 IVZ655399 IMD655399 ICH655399 HSL655399 HIP655399 GYT655399 GOX655399 GFB655399 FVF655399 FLJ655399 FBN655399 ERR655399 EHV655399 DXZ655399 DOD655399 DEH655399 CUL655399 CKP655399 CAT655399 BQX655399 BHB655399 AXF655399 ANJ655399 ADN655399 TR655399 JV655399 Z655399 WWH589863 WML589863 WCP589863 VST589863 VIX589863 UZB589863 UPF589863 UFJ589863 TVN589863 TLR589863 TBV589863 SRZ589863 SID589863 RYH589863 ROL589863 REP589863 QUT589863 QKX589863 QBB589863 PRF589863 PHJ589863 OXN589863 ONR589863 ODV589863 NTZ589863 NKD589863 NAH589863 MQL589863 MGP589863 LWT589863 LMX589863 LDB589863 KTF589863 KJJ589863 JZN589863 JPR589863 JFV589863 IVZ589863 IMD589863 ICH589863 HSL589863 HIP589863 GYT589863 GOX589863 GFB589863 FVF589863 FLJ589863 FBN589863 ERR589863 EHV589863 DXZ589863 DOD589863 DEH589863 CUL589863 CKP589863 CAT589863 BQX589863 BHB589863 AXF589863 ANJ589863 ADN589863 TR589863 JV589863 Z589863 WWH524327 WML524327 WCP524327 VST524327 VIX524327 UZB524327 UPF524327 UFJ524327 TVN524327 TLR524327 TBV524327 SRZ524327 SID524327 RYH524327 ROL524327 REP524327 QUT524327 QKX524327 QBB524327 PRF524327 PHJ524327 OXN524327 ONR524327 ODV524327 NTZ524327 NKD524327 NAH524327 MQL524327 MGP524327 LWT524327 LMX524327 LDB524327 KTF524327 KJJ524327 JZN524327 JPR524327 JFV524327 IVZ524327 IMD524327 ICH524327 HSL524327 HIP524327 GYT524327 GOX524327 GFB524327 FVF524327 FLJ524327 FBN524327 ERR524327 EHV524327 DXZ524327 DOD524327 DEH524327 CUL524327 CKP524327 CAT524327 BQX524327 BHB524327 AXF524327 ANJ524327 ADN524327 TR524327 JV524327 Z524327 WWH458791 WML458791 WCP458791 VST458791 VIX458791 UZB458791 UPF458791 UFJ458791 TVN458791 TLR458791 TBV458791 SRZ458791 SID458791 RYH458791 ROL458791 REP458791 QUT458791 QKX458791 QBB458791 PRF458791 PHJ458791 OXN458791 ONR458791 ODV458791 NTZ458791 NKD458791 NAH458791 MQL458791 MGP458791 LWT458791 LMX458791 LDB458791 KTF458791 KJJ458791 JZN458791 JPR458791 JFV458791 IVZ458791 IMD458791 ICH458791 HSL458791 HIP458791 GYT458791 GOX458791 GFB458791 FVF458791 FLJ458791 FBN458791 ERR458791 EHV458791 DXZ458791 DOD458791 DEH458791 CUL458791 CKP458791 CAT458791 BQX458791 BHB458791 AXF458791 ANJ458791 ADN458791 TR458791 JV458791 Z458791 WWH393255 WML393255 WCP393255 VST393255 VIX393255 UZB393255 UPF393255 UFJ393255 TVN393255 TLR393255 TBV393255 SRZ393255 SID393255 RYH393255 ROL393255 REP393255 QUT393255 QKX393255 QBB393255 PRF393255 PHJ393255 OXN393255 ONR393255 ODV393255 NTZ393255 NKD393255 NAH393255 MQL393255 MGP393255 LWT393255 LMX393255 LDB393255 KTF393255 KJJ393255 JZN393255 JPR393255 JFV393255 IVZ393255 IMD393255 ICH393255 HSL393255 HIP393255 GYT393255 GOX393255 GFB393255 FVF393255 FLJ393255 FBN393255 ERR393255 EHV393255 DXZ393255 DOD393255 DEH393255 CUL393255 CKP393255 CAT393255 BQX393255 BHB393255 AXF393255 ANJ393255 ADN393255 TR393255 JV393255 Z393255 WWH327719 WML327719 WCP327719 VST327719 VIX327719 UZB327719 UPF327719 UFJ327719 TVN327719 TLR327719 TBV327719 SRZ327719 SID327719 RYH327719 ROL327719 REP327719 QUT327719 QKX327719 QBB327719 PRF327719 PHJ327719 OXN327719 ONR327719 ODV327719 NTZ327719 NKD327719 NAH327719 MQL327719 MGP327719 LWT327719 LMX327719 LDB327719 KTF327719 KJJ327719 JZN327719 JPR327719 JFV327719 IVZ327719 IMD327719 ICH327719 HSL327719 HIP327719 GYT327719 GOX327719 GFB327719 FVF327719 FLJ327719 FBN327719 ERR327719 EHV327719 DXZ327719 DOD327719 DEH327719 CUL327719 CKP327719 CAT327719 BQX327719 BHB327719 AXF327719 ANJ327719 ADN327719 TR327719 JV327719 Z327719 WWH262183 WML262183 WCP262183 VST262183 VIX262183 UZB262183 UPF262183 UFJ262183 TVN262183 TLR262183 TBV262183 SRZ262183 SID262183 RYH262183 ROL262183 REP262183 QUT262183 QKX262183 QBB262183 PRF262183 PHJ262183 OXN262183 ONR262183 ODV262183 NTZ262183 NKD262183 NAH262183 MQL262183 MGP262183 LWT262183 LMX262183 LDB262183 KTF262183 KJJ262183 JZN262183 JPR262183 JFV262183 IVZ262183 IMD262183 ICH262183 HSL262183 HIP262183 GYT262183 GOX262183 GFB262183 FVF262183 FLJ262183 FBN262183 ERR262183 EHV262183 DXZ262183 DOD262183 DEH262183 CUL262183 CKP262183 CAT262183 BQX262183 BHB262183 AXF262183 ANJ262183 ADN262183 TR262183 JV262183 Z262183 WWH196647 WML196647 WCP196647 VST196647 VIX196647 UZB196647 UPF196647 UFJ196647 TVN196647 TLR196647 TBV196647 SRZ196647 SID196647 RYH196647 ROL196647 REP196647 QUT196647 QKX196647 QBB196647 PRF196647 PHJ196647 OXN196647 ONR196647 ODV196647 NTZ196647 NKD196647 NAH196647 MQL196647 MGP196647 LWT196647 LMX196647 LDB196647 KTF196647 KJJ196647 JZN196647 JPR196647 JFV196647 IVZ196647 IMD196647 ICH196647 HSL196647 HIP196647 GYT196647 GOX196647 GFB196647 FVF196647 FLJ196647 FBN196647 ERR196647 EHV196647 DXZ196647 DOD196647 DEH196647 CUL196647 CKP196647 CAT196647 BQX196647 BHB196647 AXF196647 ANJ196647 ADN196647 TR196647 JV196647 Z196647 WWH131111 WML131111 WCP131111 VST131111 VIX131111 UZB131111 UPF131111 UFJ131111 TVN131111 TLR131111 TBV131111 SRZ131111 SID131111 RYH131111 ROL131111 REP131111 QUT131111 QKX131111 QBB131111 PRF131111 PHJ131111 OXN131111 ONR131111 ODV131111 NTZ131111 NKD131111 NAH131111 MQL131111 MGP131111 LWT131111 LMX131111 LDB131111 KTF131111 KJJ131111 JZN131111 JPR131111 JFV131111 IVZ131111 IMD131111 ICH131111 HSL131111 HIP131111 GYT131111 GOX131111 GFB131111 FVF131111 FLJ131111 FBN131111 ERR131111 EHV131111 DXZ131111 DOD131111 DEH131111 CUL131111 CKP131111 CAT131111 BQX131111 BHB131111 AXF131111 ANJ131111 ADN131111 TR131111 JV131111 Z131111 WWH65575 WML65575 WCP65575 VST65575 VIX65575 UZB65575 UPF65575 UFJ65575 TVN65575 TLR65575 TBV65575 SRZ65575 SID65575 RYH65575 ROL65575 REP65575 QUT65575 QKX65575 QBB65575 PRF65575 PHJ65575 OXN65575 ONR65575 ODV65575 NTZ65575 NKD65575 NAH65575 MQL65575 MGP65575 LWT65575 LMX65575 LDB65575 KTF65575 KJJ65575 JZN65575 JPR65575 JFV65575 IVZ65575 IMD65575 ICH65575 HSL65575 HIP65575 GYT65575 GOX65575 GFB65575 FVF65575 FLJ65575 FBN65575 ERR65575 EHV65575 DXZ65575 DOD65575 DEH65575 CUL65575 CKP65575 CAT65575 BQX65575 BHB65575 AXF65575 ANJ65575 ADN65575 TR65575 JV65575 Z65575 WWH39 WML39 WCP39 VST39 VIX39 UZB39 UPF39 UFJ39 TVN39 TLR39 TBV39 SRZ39 SID39 RYH39 ROL39 REP39 QUT39 QKX39 QBB39 PRF39 PHJ39 OXN39 ONR39 ODV39 NTZ39 NKD39 NAH39 MQL39 MGP39 LWT39 LMX39 LDB39 KTF39 KJJ39 JZN39 JPR39 JFV39 IVZ39 IMD39 ICH39 HSL39 HIP39 GYT39 GOX39 GFB39 FVF39 FLJ39 FBN39 ERR39 EHV39 DXZ39 DOD39 DEH39 CUL39 CKP39 CAT39 BQX39 BHB39 AXF39 ANJ39 ADN39 TR39 JV39">
      <formula1>#REF!</formula1>
    </dataValidation>
    <dataValidation type="list" allowBlank="1" showInputMessage="1" showErrorMessage="1" sqref="WBU983101:WBU983102 VRY983101:VRY983102 VIC983101:VIC983102 UYG983101:UYG983102 UOK983101:UOK983102 UEO983101:UEO983102 TUS983101:TUS983102 TKW983101:TKW983102 TBA983101:TBA983102 SRE983101:SRE983102 SHI983101:SHI983102 RXM983101:RXM983102 RNQ983101:RNQ983102 RDU983101:RDU983102 QTY983101:QTY983102 QKC983101:QKC983102 QAG983101:QAG983102 PQK983101:PQK983102 PGO983101:PGO983102 OWS983101:OWS983102 OMW983101:OMW983102 ODA983101:ODA983102 NTE983101:NTE983102 NJI983101:NJI983102 MZM983101:MZM983102 MPQ983101:MPQ983102 MFU983101:MFU983102 LVY983101:LVY983102 LMC983101:LMC983102 LCG983101:LCG983102 KSK983101:KSK983102 KIO983101:KIO983102 JYS983101:JYS983102 JOW983101:JOW983102 JFA983101:JFA983102 IVE983101:IVE983102 ILI983101:ILI983102 IBM983101:IBM983102 HRQ983101:HRQ983102 HHU983101:HHU983102 GXY983101:GXY983102 GOC983101:GOC983102 GEG983101:GEG983102 FUK983101:FUK983102 FKO983101:FKO983102 FAS983101:FAS983102 EQW983101:EQW983102 EHA983101:EHA983102 DXE983101:DXE983102 DNI983101:DNI983102 DDM983101:DDM983102 CTQ983101:CTQ983102 CJU983101:CJU983102 BZY983101:BZY983102 BQC983101:BQC983102 BGG983101:BGG983102 AWK983101:AWK983102 AMO983101:AMO983102 ACS983101:ACS983102 SW983101:SW983102 JA983101:JA983102 E983101:E983102 WVM917565:WVM917566 WLQ917565:WLQ917566 WBU917565:WBU917566 VRY917565:VRY917566 VIC917565:VIC917566 UYG917565:UYG917566 UOK917565:UOK917566 UEO917565:UEO917566 TUS917565:TUS917566 TKW917565:TKW917566 TBA917565:TBA917566 SRE917565:SRE917566 SHI917565:SHI917566 RXM917565:RXM917566 RNQ917565:RNQ917566 RDU917565:RDU917566 QTY917565:QTY917566 QKC917565:QKC917566 QAG917565:QAG917566 PQK917565:PQK917566 PGO917565:PGO917566 OWS917565:OWS917566 OMW917565:OMW917566 ODA917565:ODA917566 NTE917565:NTE917566 NJI917565:NJI917566 MZM917565:MZM917566 MPQ917565:MPQ917566 MFU917565:MFU917566 LVY917565:LVY917566 LMC917565:LMC917566 LCG917565:LCG917566 KSK917565:KSK917566 KIO917565:KIO917566 JYS917565:JYS917566 JOW917565:JOW917566 JFA917565:JFA917566 IVE917565:IVE917566 ILI917565:ILI917566 IBM917565:IBM917566 HRQ917565:HRQ917566 HHU917565:HHU917566 GXY917565:GXY917566 GOC917565:GOC917566 GEG917565:GEG917566 FUK917565:FUK917566 FKO917565:FKO917566 FAS917565:FAS917566 EQW917565:EQW917566 EHA917565:EHA917566 DXE917565:DXE917566 DNI917565:DNI917566 DDM917565:DDM917566 CTQ917565:CTQ917566 CJU917565:CJU917566 BZY917565:BZY917566 BQC917565:BQC917566 BGG917565:BGG917566 AWK917565:AWK917566 AMO917565:AMO917566 ACS917565:ACS917566 SW917565:SW917566 JA917565:JA917566 E917565:E917566 WVM852029:WVM852030 WLQ852029:WLQ852030 WBU852029:WBU852030 VRY852029:VRY852030 VIC852029:VIC852030 UYG852029:UYG852030 UOK852029:UOK852030 UEO852029:UEO852030 TUS852029:TUS852030 TKW852029:TKW852030 TBA852029:TBA852030 SRE852029:SRE852030 SHI852029:SHI852030 RXM852029:RXM852030 RNQ852029:RNQ852030 RDU852029:RDU852030 QTY852029:QTY852030 QKC852029:QKC852030 QAG852029:QAG852030 PQK852029:PQK852030 PGO852029:PGO852030 OWS852029:OWS852030 OMW852029:OMW852030 ODA852029:ODA852030 NTE852029:NTE852030 NJI852029:NJI852030 MZM852029:MZM852030 MPQ852029:MPQ852030 MFU852029:MFU852030 LVY852029:LVY852030 LMC852029:LMC852030 LCG852029:LCG852030 KSK852029:KSK852030 KIO852029:KIO852030 JYS852029:JYS852030 JOW852029:JOW852030 JFA852029:JFA852030 IVE852029:IVE852030 ILI852029:ILI852030 IBM852029:IBM852030 HRQ852029:HRQ852030 HHU852029:HHU852030 GXY852029:GXY852030 GOC852029:GOC852030 GEG852029:GEG852030 FUK852029:FUK852030 FKO852029:FKO852030 FAS852029:FAS852030 EQW852029:EQW852030 EHA852029:EHA852030 DXE852029:DXE852030 DNI852029:DNI852030 DDM852029:DDM852030 CTQ852029:CTQ852030 CJU852029:CJU852030 BZY852029:BZY852030 BQC852029:BQC852030 BGG852029:BGG852030 AWK852029:AWK852030 AMO852029:AMO852030 ACS852029:ACS852030 SW852029:SW852030 JA852029:JA852030 E852029:E852030 WVM786493:WVM786494 WLQ786493:WLQ786494 WBU786493:WBU786494 VRY786493:VRY786494 VIC786493:VIC786494 UYG786493:UYG786494 UOK786493:UOK786494 UEO786493:UEO786494 TUS786493:TUS786494 TKW786493:TKW786494 TBA786493:TBA786494 SRE786493:SRE786494 SHI786493:SHI786494 RXM786493:RXM786494 RNQ786493:RNQ786494 RDU786493:RDU786494 QTY786493:QTY786494 QKC786493:QKC786494 QAG786493:QAG786494 PQK786493:PQK786494 PGO786493:PGO786494 OWS786493:OWS786494 OMW786493:OMW786494 ODA786493:ODA786494 NTE786493:NTE786494 NJI786493:NJI786494 MZM786493:MZM786494 MPQ786493:MPQ786494 MFU786493:MFU786494 LVY786493:LVY786494 LMC786493:LMC786494 LCG786493:LCG786494 KSK786493:KSK786494 KIO786493:KIO786494 JYS786493:JYS786494 JOW786493:JOW786494 JFA786493:JFA786494 IVE786493:IVE786494 ILI786493:ILI786494 IBM786493:IBM786494 HRQ786493:HRQ786494 HHU786493:HHU786494 GXY786493:GXY786494 GOC786493:GOC786494 GEG786493:GEG786494 FUK786493:FUK786494 FKO786493:FKO786494 FAS786493:FAS786494 EQW786493:EQW786494 EHA786493:EHA786494 DXE786493:DXE786494 DNI786493:DNI786494 DDM786493:DDM786494 CTQ786493:CTQ786494 CJU786493:CJU786494 BZY786493:BZY786494 BQC786493:BQC786494 BGG786493:BGG786494 AWK786493:AWK786494 AMO786493:AMO786494 ACS786493:ACS786494 SW786493:SW786494 JA786493:JA786494 E786493:E786494 WVM720957:WVM720958 WLQ720957:WLQ720958 WBU720957:WBU720958 VRY720957:VRY720958 VIC720957:VIC720958 UYG720957:UYG720958 UOK720957:UOK720958 UEO720957:UEO720958 TUS720957:TUS720958 TKW720957:TKW720958 TBA720957:TBA720958 SRE720957:SRE720958 SHI720957:SHI720958 RXM720957:RXM720958 RNQ720957:RNQ720958 RDU720957:RDU720958 QTY720957:QTY720958 QKC720957:QKC720958 QAG720957:QAG720958 PQK720957:PQK720958 PGO720957:PGO720958 OWS720957:OWS720958 OMW720957:OMW720958 ODA720957:ODA720958 NTE720957:NTE720958 NJI720957:NJI720958 MZM720957:MZM720958 MPQ720957:MPQ720958 MFU720957:MFU720958 LVY720957:LVY720958 LMC720957:LMC720958 LCG720957:LCG720958 KSK720957:KSK720958 KIO720957:KIO720958 JYS720957:JYS720958 JOW720957:JOW720958 JFA720957:JFA720958 IVE720957:IVE720958 ILI720957:ILI720958 IBM720957:IBM720958 HRQ720957:HRQ720958 HHU720957:HHU720958 GXY720957:GXY720958 GOC720957:GOC720958 GEG720957:GEG720958 FUK720957:FUK720958 FKO720957:FKO720958 FAS720957:FAS720958 EQW720957:EQW720958 EHA720957:EHA720958 DXE720957:DXE720958 DNI720957:DNI720958 DDM720957:DDM720958 CTQ720957:CTQ720958 CJU720957:CJU720958 BZY720957:BZY720958 BQC720957:BQC720958 BGG720957:BGG720958 AWK720957:AWK720958 AMO720957:AMO720958 ACS720957:ACS720958 SW720957:SW720958 JA720957:JA720958 E720957:E720958 WVM655421:WVM655422 WLQ655421:WLQ655422 WBU655421:WBU655422 VRY655421:VRY655422 VIC655421:VIC655422 UYG655421:UYG655422 UOK655421:UOK655422 UEO655421:UEO655422 TUS655421:TUS655422 TKW655421:TKW655422 TBA655421:TBA655422 SRE655421:SRE655422 SHI655421:SHI655422 RXM655421:RXM655422 RNQ655421:RNQ655422 RDU655421:RDU655422 QTY655421:QTY655422 QKC655421:QKC655422 QAG655421:QAG655422 PQK655421:PQK655422 PGO655421:PGO655422 OWS655421:OWS655422 OMW655421:OMW655422 ODA655421:ODA655422 NTE655421:NTE655422 NJI655421:NJI655422 MZM655421:MZM655422 MPQ655421:MPQ655422 MFU655421:MFU655422 LVY655421:LVY655422 LMC655421:LMC655422 LCG655421:LCG655422 KSK655421:KSK655422 KIO655421:KIO655422 JYS655421:JYS655422 JOW655421:JOW655422 JFA655421:JFA655422 IVE655421:IVE655422 ILI655421:ILI655422 IBM655421:IBM655422 HRQ655421:HRQ655422 HHU655421:HHU655422 GXY655421:GXY655422 GOC655421:GOC655422 GEG655421:GEG655422 FUK655421:FUK655422 FKO655421:FKO655422 FAS655421:FAS655422 EQW655421:EQW655422 EHA655421:EHA655422 DXE655421:DXE655422 DNI655421:DNI655422 DDM655421:DDM655422 CTQ655421:CTQ655422 CJU655421:CJU655422 BZY655421:BZY655422 BQC655421:BQC655422 BGG655421:BGG655422 AWK655421:AWK655422 AMO655421:AMO655422 ACS655421:ACS655422 SW655421:SW655422 JA655421:JA655422 E655421:E655422 WVM589885:WVM589886 WLQ589885:WLQ589886 WBU589885:WBU589886 VRY589885:VRY589886 VIC589885:VIC589886 UYG589885:UYG589886 UOK589885:UOK589886 UEO589885:UEO589886 TUS589885:TUS589886 TKW589885:TKW589886 TBA589885:TBA589886 SRE589885:SRE589886 SHI589885:SHI589886 RXM589885:RXM589886 RNQ589885:RNQ589886 RDU589885:RDU589886 QTY589885:QTY589886 QKC589885:QKC589886 QAG589885:QAG589886 PQK589885:PQK589886 PGO589885:PGO589886 OWS589885:OWS589886 OMW589885:OMW589886 ODA589885:ODA589886 NTE589885:NTE589886 NJI589885:NJI589886 MZM589885:MZM589886 MPQ589885:MPQ589886 MFU589885:MFU589886 LVY589885:LVY589886 LMC589885:LMC589886 LCG589885:LCG589886 KSK589885:KSK589886 KIO589885:KIO589886 JYS589885:JYS589886 JOW589885:JOW589886 JFA589885:JFA589886 IVE589885:IVE589886 ILI589885:ILI589886 IBM589885:IBM589886 HRQ589885:HRQ589886 HHU589885:HHU589886 GXY589885:GXY589886 GOC589885:GOC589886 GEG589885:GEG589886 FUK589885:FUK589886 FKO589885:FKO589886 FAS589885:FAS589886 EQW589885:EQW589886 EHA589885:EHA589886 DXE589885:DXE589886 DNI589885:DNI589886 DDM589885:DDM589886 CTQ589885:CTQ589886 CJU589885:CJU589886 BZY589885:BZY589886 BQC589885:BQC589886 BGG589885:BGG589886 AWK589885:AWK589886 AMO589885:AMO589886 ACS589885:ACS589886 SW589885:SW589886 JA589885:JA589886 E589885:E589886 WVM524349:WVM524350 WLQ524349:WLQ524350 WBU524349:WBU524350 VRY524349:VRY524350 VIC524349:VIC524350 UYG524349:UYG524350 UOK524349:UOK524350 UEO524349:UEO524350 TUS524349:TUS524350 TKW524349:TKW524350 TBA524349:TBA524350 SRE524349:SRE524350 SHI524349:SHI524350 RXM524349:RXM524350 RNQ524349:RNQ524350 RDU524349:RDU524350 QTY524349:QTY524350 QKC524349:QKC524350 QAG524349:QAG524350 PQK524349:PQK524350 PGO524349:PGO524350 OWS524349:OWS524350 OMW524349:OMW524350 ODA524349:ODA524350 NTE524349:NTE524350 NJI524349:NJI524350 MZM524349:MZM524350 MPQ524349:MPQ524350 MFU524349:MFU524350 LVY524349:LVY524350 LMC524349:LMC524350 LCG524349:LCG524350 KSK524349:KSK524350 KIO524349:KIO524350 JYS524349:JYS524350 JOW524349:JOW524350 JFA524349:JFA524350 IVE524349:IVE524350 ILI524349:ILI524350 IBM524349:IBM524350 HRQ524349:HRQ524350 HHU524349:HHU524350 GXY524349:GXY524350 GOC524349:GOC524350 GEG524349:GEG524350 FUK524349:FUK524350 FKO524349:FKO524350 FAS524349:FAS524350 EQW524349:EQW524350 EHA524349:EHA524350 DXE524349:DXE524350 DNI524349:DNI524350 DDM524349:DDM524350 CTQ524349:CTQ524350 CJU524349:CJU524350 BZY524349:BZY524350 BQC524349:BQC524350 BGG524349:BGG524350 AWK524349:AWK524350 AMO524349:AMO524350 ACS524349:ACS524350 SW524349:SW524350 JA524349:JA524350 E524349:E524350 WVM458813:WVM458814 WLQ458813:WLQ458814 WBU458813:WBU458814 VRY458813:VRY458814 VIC458813:VIC458814 UYG458813:UYG458814 UOK458813:UOK458814 UEO458813:UEO458814 TUS458813:TUS458814 TKW458813:TKW458814 TBA458813:TBA458814 SRE458813:SRE458814 SHI458813:SHI458814 RXM458813:RXM458814 RNQ458813:RNQ458814 RDU458813:RDU458814 QTY458813:QTY458814 QKC458813:QKC458814 QAG458813:QAG458814 PQK458813:PQK458814 PGO458813:PGO458814 OWS458813:OWS458814 OMW458813:OMW458814 ODA458813:ODA458814 NTE458813:NTE458814 NJI458813:NJI458814 MZM458813:MZM458814 MPQ458813:MPQ458814 MFU458813:MFU458814 LVY458813:LVY458814 LMC458813:LMC458814 LCG458813:LCG458814 KSK458813:KSK458814 KIO458813:KIO458814 JYS458813:JYS458814 JOW458813:JOW458814 JFA458813:JFA458814 IVE458813:IVE458814 ILI458813:ILI458814 IBM458813:IBM458814 HRQ458813:HRQ458814 HHU458813:HHU458814 GXY458813:GXY458814 GOC458813:GOC458814 GEG458813:GEG458814 FUK458813:FUK458814 FKO458813:FKO458814 FAS458813:FAS458814 EQW458813:EQW458814 EHA458813:EHA458814 DXE458813:DXE458814 DNI458813:DNI458814 DDM458813:DDM458814 CTQ458813:CTQ458814 CJU458813:CJU458814 BZY458813:BZY458814 BQC458813:BQC458814 BGG458813:BGG458814 AWK458813:AWK458814 AMO458813:AMO458814 ACS458813:ACS458814 SW458813:SW458814 JA458813:JA458814 E458813:E458814 WVM393277:WVM393278 WLQ393277:WLQ393278 WBU393277:WBU393278 VRY393277:VRY393278 VIC393277:VIC393278 UYG393277:UYG393278 UOK393277:UOK393278 UEO393277:UEO393278 TUS393277:TUS393278 TKW393277:TKW393278 TBA393277:TBA393278 SRE393277:SRE393278 SHI393277:SHI393278 RXM393277:RXM393278 RNQ393277:RNQ393278 RDU393277:RDU393278 QTY393277:QTY393278 QKC393277:QKC393278 QAG393277:QAG393278 PQK393277:PQK393278 PGO393277:PGO393278 OWS393277:OWS393278 OMW393277:OMW393278 ODA393277:ODA393278 NTE393277:NTE393278 NJI393277:NJI393278 MZM393277:MZM393278 MPQ393277:MPQ393278 MFU393277:MFU393278 LVY393277:LVY393278 LMC393277:LMC393278 LCG393277:LCG393278 KSK393277:KSK393278 KIO393277:KIO393278 JYS393277:JYS393278 JOW393277:JOW393278 JFA393277:JFA393278 IVE393277:IVE393278 ILI393277:ILI393278 IBM393277:IBM393278 HRQ393277:HRQ393278 HHU393277:HHU393278 GXY393277:GXY393278 GOC393277:GOC393278 GEG393277:GEG393278 FUK393277:FUK393278 FKO393277:FKO393278 FAS393277:FAS393278 EQW393277:EQW393278 EHA393277:EHA393278 DXE393277:DXE393278 DNI393277:DNI393278 DDM393277:DDM393278 CTQ393277:CTQ393278 CJU393277:CJU393278 BZY393277:BZY393278 BQC393277:BQC393278 BGG393277:BGG393278 AWK393277:AWK393278 AMO393277:AMO393278 ACS393277:ACS393278 SW393277:SW393278 JA393277:JA393278 E393277:E393278 WVM327741:WVM327742 WLQ327741:WLQ327742 WBU327741:WBU327742 VRY327741:VRY327742 VIC327741:VIC327742 UYG327741:UYG327742 UOK327741:UOK327742 UEO327741:UEO327742 TUS327741:TUS327742 TKW327741:TKW327742 TBA327741:TBA327742 SRE327741:SRE327742 SHI327741:SHI327742 RXM327741:RXM327742 RNQ327741:RNQ327742 RDU327741:RDU327742 QTY327741:QTY327742 QKC327741:QKC327742 QAG327741:QAG327742 PQK327741:PQK327742 PGO327741:PGO327742 OWS327741:OWS327742 OMW327741:OMW327742 ODA327741:ODA327742 NTE327741:NTE327742 NJI327741:NJI327742 MZM327741:MZM327742 MPQ327741:MPQ327742 MFU327741:MFU327742 LVY327741:LVY327742 LMC327741:LMC327742 LCG327741:LCG327742 KSK327741:KSK327742 KIO327741:KIO327742 JYS327741:JYS327742 JOW327741:JOW327742 JFA327741:JFA327742 IVE327741:IVE327742 ILI327741:ILI327742 IBM327741:IBM327742 HRQ327741:HRQ327742 HHU327741:HHU327742 GXY327741:GXY327742 GOC327741:GOC327742 GEG327741:GEG327742 FUK327741:FUK327742 FKO327741:FKO327742 FAS327741:FAS327742 EQW327741:EQW327742 EHA327741:EHA327742 DXE327741:DXE327742 DNI327741:DNI327742 DDM327741:DDM327742 CTQ327741:CTQ327742 CJU327741:CJU327742 BZY327741:BZY327742 BQC327741:BQC327742 BGG327741:BGG327742 AWK327741:AWK327742 AMO327741:AMO327742 ACS327741:ACS327742 SW327741:SW327742 JA327741:JA327742 E327741:E327742 WVM262205:WVM262206 WLQ262205:WLQ262206 WBU262205:WBU262206 VRY262205:VRY262206 VIC262205:VIC262206 UYG262205:UYG262206 UOK262205:UOK262206 UEO262205:UEO262206 TUS262205:TUS262206 TKW262205:TKW262206 TBA262205:TBA262206 SRE262205:SRE262206 SHI262205:SHI262206 RXM262205:RXM262206 RNQ262205:RNQ262206 RDU262205:RDU262206 QTY262205:QTY262206 QKC262205:QKC262206 QAG262205:QAG262206 PQK262205:PQK262206 PGO262205:PGO262206 OWS262205:OWS262206 OMW262205:OMW262206 ODA262205:ODA262206 NTE262205:NTE262206 NJI262205:NJI262206 MZM262205:MZM262206 MPQ262205:MPQ262206 MFU262205:MFU262206 LVY262205:LVY262206 LMC262205:LMC262206 LCG262205:LCG262206 KSK262205:KSK262206 KIO262205:KIO262206 JYS262205:JYS262206 JOW262205:JOW262206 JFA262205:JFA262206 IVE262205:IVE262206 ILI262205:ILI262206 IBM262205:IBM262206 HRQ262205:HRQ262206 HHU262205:HHU262206 GXY262205:GXY262206 GOC262205:GOC262206 GEG262205:GEG262206 FUK262205:FUK262206 FKO262205:FKO262206 FAS262205:FAS262206 EQW262205:EQW262206 EHA262205:EHA262206 DXE262205:DXE262206 DNI262205:DNI262206 DDM262205:DDM262206 CTQ262205:CTQ262206 CJU262205:CJU262206 BZY262205:BZY262206 BQC262205:BQC262206 BGG262205:BGG262206 AWK262205:AWK262206 AMO262205:AMO262206 ACS262205:ACS262206 SW262205:SW262206 JA262205:JA262206 E262205:E262206 WVM196669:WVM196670 WLQ196669:WLQ196670 WBU196669:WBU196670 VRY196669:VRY196670 VIC196669:VIC196670 UYG196669:UYG196670 UOK196669:UOK196670 UEO196669:UEO196670 TUS196669:TUS196670 TKW196669:TKW196670 TBA196669:TBA196670 SRE196669:SRE196670 SHI196669:SHI196670 RXM196669:RXM196670 RNQ196669:RNQ196670 RDU196669:RDU196670 QTY196669:QTY196670 QKC196669:QKC196670 QAG196669:QAG196670 PQK196669:PQK196670 PGO196669:PGO196670 OWS196669:OWS196670 OMW196669:OMW196670 ODA196669:ODA196670 NTE196669:NTE196670 NJI196669:NJI196670 MZM196669:MZM196670 MPQ196669:MPQ196670 MFU196669:MFU196670 LVY196669:LVY196670 LMC196669:LMC196670 LCG196669:LCG196670 KSK196669:KSK196670 KIO196669:KIO196670 JYS196669:JYS196670 JOW196669:JOW196670 JFA196669:JFA196670 IVE196669:IVE196670 ILI196669:ILI196670 IBM196669:IBM196670 HRQ196669:HRQ196670 HHU196669:HHU196670 GXY196669:GXY196670 GOC196669:GOC196670 GEG196669:GEG196670 FUK196669:FUK196670 FKO196669:FKO196670 FAS196669:FAS196670 EQW196669:EQW196670 EHA196669:EHA196670 DXE196669:DXE196670 DNI196669:DNI196670 DDM196669:DDM196670 CTQ196669:CTQ196670 CJU196669:CJU196670 BZY196669:BZY196670 BQC196669:BQC196670 BGG196669:BGG196670 AWK196669:AWK196670 AMO196669:AMO196670 ACS196669:ACS196670 SW196669:SW196670 JA196669:JA196670 E196669:E196670 WVM131133:WVM131134 WLQ131133:WLQ131134 WBU131133:WBU131134 VRY131133:VRY131134 VIC131133:VIC131134 UYG131133:UYG131134 UOK131133:UOK131134 UEO131133:UEO131134 TUS131133:TUS131134 TKW131133:TKW131134 TBA131133:TBA131134 SRE131133:SRE131134 SHI131133:SHI131134 RXM131133:RXM131134 RNQ131133:RNQ131134 RDU131133:RDU131134 QTY131133:QTY131134 QKC131133:QKC131134 QAG131133:QAG131134 PQK131133:PQK131134 PGO131133:PGO131134 OWS131133:OWS131134 OMW131133:OMW131134 ODA131133:ODA131134 NTE131133:NTE131134 NJI131133:NJI131134 MZM131133:MZM131134 MPQ131133:MPQ131134 MFU131133:MFU131134 LVY131133:LVY131134 LMC131133:LMC131134 LCG131133:LCG131134 KSK131133:KSK131134 KIO131133:KIO131134 JYS131133:JYS131134 JOW131133:JOW131134 JFA131133:JFA131134 IVE131133:IVE131134 ILI131133:ILI131134 IBM131133:IBM131134 HRQ131133:HRQ131134 HHU131133:HHU131134 GXY131133:GXY131134 GOC131133:GOC131134 GEG131133:GEG131134 FUK131133:FUK131134 FKO131133:FKO131134 FAS131133:FAS131134 EQW131133:EQW131134 EHA131133:EHA131134 DXE131133:DXE131134 DNI131133:DNI131134 DDM131133:DDM131134 CTQ131133:CTQ131134 CJU131133:CJU131134 BZY131133:BZY131134 BQC131133:BQC131134 BGG131133:BGG131134 AWK131133:AWK131134 AMO131133:AMO131134 ACS131133:ACS131134 SW131133:SW131134 JA131133:JA131134 E131133:E131134 WVM65597:WVM65598 WLQ65597:WLQ65598 WBU65597:WBU65598 VRY65597:VRY65598 VIC65597:VIC65598 UYG65597:UYG65598 UOK65597:UOK65598 UEO65597:UEO65598 TUS65597:TUS65598 TKW65597:TKW65598 TBA65597:TBA65598 SRE65597:SRE65598 SHI65597:SHI65598 RXM65597:RXM65598 RNQ65597:RNQ65598 RDU65597:RDU65598 QTY65597:QTY65598 QKC65597:QKC65598 QAG65597:QAG65598 PQK65597:PQK65598 PGO65597:PGO65598 OWS65597:OWS65598 OMW65597:OMW65598 ODA65597:ODA65598 NTE65597:NTE65598 NJI65597:NJI65598 MZM65597:MZM65598 MPQ65597:MPQ65598 MFU65597:MFU65598 LVY65597:LVY65598 LMC65597:LMC65598 LCG65597:LCG65598 KSK65597:KSK65598 KIO65597:KIO65598 JYS65597:JYS65598 JOW65597:JOW65598 JFA65597:JFA65598 IVE65597:IVE65598 ILI65597:ILI65598 IBM65597:IBM65598 HRQ65597:HRQ65598 HHU65597:HHU65598 GXY65597:GXY65598 GOC65597:GOC65598 GEG65597:GEG65598 FUK65597:FUK65598 FKO65597:FKO65598 FAS65597:FAS65598 EQW65597:EQW65598 EHA65597:EHA65598 DXE65597:DXE65598 DNI65597:DNI65598 DDM65597:DDM65598 CTQ65597:CTQ65598 CJU65597:CJU65598 BZY65597:BZY65598 BQC65597:BQC65598 BGG65597:BGG65598 AWK65597:AWK65598 AMO65597:AMO65598 ACS65597:ACS65598 SW65597:SW65598 JA65597:JA65598 E65597:E65598 WVM61:WVM62 WLQ61:WLQ62 WBU61:WBU62 VRY61:VRY62 VIC61:VIC62 UYG61:UYG62 UOK61:UOK62 UEO61:UEO62 TUS61:TUS62 TKW61:TKW62 TBA61:TBA62 SRE61:SRE62 SHI61:SHI62 RXM61:RXM62 RNQ61:RNQ62 RDU61:RDU62 QTY61:QTY62 QKC61:QKC62 QAG61:QAG62 PQK61:PQK62 PGO61:PGO62 OWS61:OWS62 OMW61:OMW62 ODA61:ODA62 NTE61:NTE62 NJI61:NJI62 MZM61:MZM62 MPQ61:MPQ62 MFU61:MFU62 LVY61:LVY62 LMC61:LMC62 LCG61:LCG62 KSK61:KSK62 KIO61:KIO62 JYS61:JYS62 JOW61:JOW62 JFA61:JFA62 IVE61:IVE62 ILI61:ILI62 IBM61:IBM62 HRQ61:HRQ62 HHU61:HHU62 GXY61:GXY62 GOC61:GOC62 GEG61:GEG62 FUK61:FUK62 FKO61:FKO62 FAS61:FAS62 EQW61:EQW62 EHA61:EHA62 DXE61:DXE62 DNI61:DNI62 DDM61:DDM62 CTQ61:CTQ62 CJU61:CJU62 BZY61:BZY62 BQC61:BQC62 BGG61:BGG62 AWK61:AWK62 AMO61:AMO62 ACS61:ACS62 SW61:SW62 JA61:JA62 WVM983101:WVM983102 WVM983099 WLQ983099 WBU983099 VRY983099 VIC983099 UYG983099 UOK983099 UEO983099 TUS983099 TKW983099 TBA983099 SRE983099 SHI983099 RXM983099 RNQ983099 RDU983099 QTY983099 QKC983099 QAG983099 PQK983099 PGO983099 OWS983099 OMW983099 ODA983099 NTE983099 NJI983099 MZM983099 MPQ983099 MFU983099 LVY983099 LMC983099 LCG983099 KSK983099 KIO983099 JYS983099 JOW983099 JFA983099 IVE983099 ILI983099 IBM983099 HRQ983099 HHU983099 GXY983099 GOC983099 GEG983099 FUK983099 FKO983099 FAS983099 EQW983099 EHA983099 DXE983099 DNI983099 DDM983099 CTQ983099 CJU983099 BZY983099 BQC983099 BGG983099 AWK983099 AMO983099 ACS983099 SW983099 JA983099 E983099 WVM917563 WLQ917563 WBU917563 VRY917563 VIC917563 UYG917563 UOK917563 UEO917563 TUS917563 TKW917563 TBA917563 SRE917563 SHI917563 RXM917563 RNQ917563 RDU917563 QTY917563 QKC917563 QAG917563 PQK917563 PGO917563 OWS917563 OMW917563 ODA917563 NTE917563 NJI917563 MZM917563 MPQ917563 MFU917563 LVY917563 LMC917563 LCG917563 KSK917563 KIO917563 JYS917563 JOW917563 JFA917563 IVE917563 ILI917563 IBM917563 HRQ917563 HHU917563 GXY917563 GOC917563 GEG917563 FUK917563 FKO917563 FAS917563 EQW917563 EHA917563 DXE917563 DNI917563 DDM917563 CTQ917563 CJU917563 BZY917563 BQC917563 BGG917563 AWK917563 AMO917563 ACS917563 SW917563 JA917563 E917563 WVM852027 WLQ852027 WBU852027 VRY852027 VIC852027 UYG852027 UOK852027 UEO852027 TUS852027 TKW852027 TBA852027 SRE852027 SHI852027 RXM852027 RNQ852027 RDU852027 QTY852027 QKC852027 QAG852027 PQK852027 PGO852027 OWS852027 OMW852027 ODA852027 NTE852027 NJI852027 MZM852027 MPQ852027 MFU852027 LVY852027 LMC852027 LCG852027 KSK852027 KIO852027 JYS852027 JOW852027 JFA852027 IVE852027 ILI852027 IBM852027 HRQ852027 HHU852027 GXY852027 GOC852027 GEG852027 FUK852027 FKO852027 FAS852027 EQW852027 EHA852027 DXE852027 DNI852027 DDM852027 CTQ852027 CJU852027 BZY852027 BQC852027 BGG852027 AWK852027 AMO852027 ACS852027 SW852027 JA852027 E852027 WVM786491 WLQ786491 WBU786491 VRY786491 VIC786491 UYG786491 UOK786491 UEO786491 TUS786491 TKW786491 TBA786491 SRE786491 SHI786491 RXM786491 RNQ786491 RDU786491 QTY786491 QKC786491 QAG786491 PQK786491 PGO786491 OWS786491 OMW786491 ODA786491 NTE786491 NJI786491 MZM786491 MPQ786491 MFU786491 LVY786491 LMC786491 LCG786491 KSK786491 KIO786491 JYS786491 JOW786491 JFA786491 IVE786491 ILI786491 IBM786491 HRQ786491 HHU786491 GXY786491 GOC786491 GEG786491 FUK786491 FKO786491 FAS786491 EQW786491 EHA786491 DXE786491 DNI786491 DDM786491 CTQ786491 CJU786491 BZY786491 BQC786491 BGG786491 AWK786491 AMO786491 ACS786491 SW786491 JA786491 E786491 WVM720955 WLQ720955 WBU720955 VRY720955 VIC720955 UYG720955 UOK720955 UEO720955 TUS720955 TKW720955 TBA720955 SRE720955 SHI720955 RXM720955 RNQ720955 RDU720955 QTY720955 QKC720955 QAG720955 PQK720955 PGO720955 OWS720955 OMW720955 ODA720955 NTE720955 NJI720955 MZM720955 MPQ720955 MFU720955 LVY720955 LMC720955 LCG720955 KSK720955 KIO720955 JYS720955 JOW720955 JFA720955 IVE720955 ILI720955 IBM720955 HRQ720955 HHU720955 GXY720955 GOC720955 GEG720955 FUK720955 FKO720955 FAS720955 EQW720955 EHA720955 DXE720955 DNI720955 DDM720955 CTQ720955 CJU720955 BZY720955 BQC720955 BGG720955 AWK720955 AMO720955 ACS720955 SW720955 JA720955 E720955 WVM655419 WLQ655419 WBU655419 VRY655419 VIC655419 UYG655419 UOK655419 UEO655419 TUS655419 TKW655419 TBA655419 SRE655419 SHI655419 RXM655419 RNQ655419 RDU655419 QTY655419 QKC655419 QAG655419 PQK655419 PGO655419 OWS655419 OMW655419 ODA655419 NTE655419 NJI655419 MZM655419 MPQ655419 MFU655419 LVY655419 LMC655419 LCG655419 KSK655419 KIO655419 JYS655419 JOW655419 JFA655419 IVE655419 ILI655419 IBM655419 HRQ655419 HHU655419 GXY655419 GOC655419 GEG655419 FUK655419 FKO655419 FAS655419 EQW655419 EHA655419 DXE655419 DNI655419 DDM655419 CTQ655419 CJU655419 BZY655419 BQC655419 BGG655419 AWK655419 AMO655419 ACS655419 SW655419 JA655419 E655419 WVM589883 WLQ589883 WBU589883 VRY589883 VIC589883 UYG589883 UOK589883 UEO589883 TUS589883 TKW589883 TBA589883 SRE589883 SHI589883 RXM589883 RNQ589883 RDU589883 QTY589883 QKC589883 QAG589883 PQK589883 PGO589883 OWS589883 OMW589883 ODA589883 NTE589883 NJI589883 MZM589883 MPQ589883 MFU589883 LVY589883 LMC589883 LCG589883 KSK589883 KIO589883 JYS589883 JOW589883 JFA589883 IVE589883 ILI589883 IBM589883 HRQ589883 HHU589883 GXY589883 GOC589883 GEG589883 FUK589883 FKO589883 FAS589883 EQW589883 EHA589883 DXE589883 DNI589883 DDM589883 CTQ589883 CJU589883 BZY589883 BQC589883 BGG589883 AWK589883 AMO589883 ACS589883 SW589883 JA589883 E589883 WVM524347 WLQ524347 WBU524347 VRY524347 VIC524347 UYG524347 UOK524347 UEO524347 TUS524347 TKW524347 TBA524347 SRE524347 SHI524347 RXM524347 RNQ524347 RDU524347 QTY524347 QKC524347 QAG524347 PQK524347 PGO524347 OWS524347 OMW524347 ODA524347 NTE524347 NJI524347 MZM524347 MPQ524347 MFU524347 LVY524347 LMC524347 LCG524347 KSK524347 KIO524347 JYS524347 JOW524347 JFA524347 IVE524347 ILI524347 IBM524347 HRQ524347 HHU524347 GXY524347 GOC524347 GEG524347 FUK524347 FKO524347 FAS524347 EQW524347 EHA524347 DXE524347 DNI524347 DDM524347 CTQ524347 CJU524347 BZY524347 BQC524347 BGG524347 AWK524347 AMO524347 ACS524347 SW524347 JA524347 E524347 WVM458811 WLQ458811 WBU458811 VRY458811 VIC458811 UYG458811 UOK458811 UEO458811 TUS458811 TKW458811 TBA458811 SRE458811 SHI458811 RXM458811 RNQ458811 RDU458811 QTY458811 QKC458811 QAG458811 PQK458811 PGO458811 OWS458811 OMW458811 ODA458811 NTE458811 NJI458811 MZM458811 MPQ458811 MFU458811 LVY458811 LMC458811 LCG458811 KSK458811 KIO458811 JYS458811 JOW458811 JFA458811 IVE458811 ILI458811 IBM458811 HRQ458811 HHU458811 GXY458811 GOC458811 GEG458811 FUK458811 FKO458811 FAS458811 EQW458811 EHA458811 DXE458811 DNI458811 DDM458811 CTQ458811 CJU458811 BZY458811 BQC458811 BGG458811 AWK458811 AMO458811 ACS458811 SW458811 JA458811 E458811 WVM393275 WLQ393275 WBU393275 VRY393275 VIC393275 UYG393275 UOK393275 UEO393275 TUS393275 TKW393275 TBA393275 SRE393275 SHI393275 RXM393275 RNQ393275 RDU393275 QTY393275 QKC393275 QAG393275 PQK393275 PGO393275 OWS393275 OMW393275 ODA393275 NTE393275 NJI393275 MZM393275 MPQ393275 MFU393275 LVY393275 LMC393275 LCG393275 KSK393275 KIO393275 JYS393275 JOW393275 JFA393275 IVE393275 ILI393275 IBM393275 HRQ393275 HHU393275 GXY393275 GOC393275 GEG393275 FUK393275 FKO393275 FAS393275 EQW393275 EHA393275 DXE393275 DNI393275 DDM393275 CTQ393275 CJU393275 BZY393275 BQC393275 BGG393275 AWK393275 AMO393275 ACS393275 SW393275 JA393275 E393275 WVM327739 WLQ327739 WBU327739 VRY327739 VIC327739 UYG327739 UOK327739 UEO327739 TUS327739 TKW327739 TBA327739 SRE327739 SHI327739 RXM327739 RNQ327739 RDU327739 QTY327739 QKC327739 QAG327739 PQK327739 PGO327739 OWS327739 OMW327739 ODA327739 NTE327739 NJI327739 MZM327739 MPQ327739 MFU327739 LVY327739 LMC327739 LCG327739 KSK327739 KIO327739 JYS327739 JOW327739 JFA327739 IVE327739 ILI327739 IBM327739 HRQ327739 HHU327739 GXY327739 GOC327739 GEG327739 FUK327739 FKO327739 FAS327739 EQW327739 EHA327739 DXE327739 DNI327739 DDM327739 CTQ327739 CJU327739 BZY327739 BQC327739 BGG327739 AWK327739 AMO327739 ACS327739 SW327739 JA327739 E327739 WVM262203 WLQ262203 WBU262203 VRY262203 VIC262203 UYG262203 UOK262203 UEO262203 TUS262203 TKW262203 TBA262203 SRE262203 SHI262203 RXM262203 RNQ262203 RDU262203 QTY262203 QKC262203 QAG262203 PQK262203 PGO262203 OWS262203 OMW262203 ODA262203 NTE262203 NJI262203 MZM262203 MPQ262203 MFU262203 LVY262203 LMC262203 LCG262203 KSK262203 KIO262203 JYS262203 JOW262203 JFA262203 IVE262203 ILI262203 IBM262203 HRQ262203 HHU262203 GXY262203 GOC262203 GEG262203 FUK262203 FKO262203 FAS262203 EQW262203 EHA262203 DXE262203 DNI262203 DDM262203 CTQ262203 CJU262203 BZY262203 BQC262203 BGG262203 AWK262203 AMO262203 ACS262203 SW262203 JA262203 E262203 WVM196667 WLQ196667 WBU196667 VRY196667 VIC196667 UYG196667 UOK196667 UEO196667 TUS196667 TKW196667 TBA196667 SRE196667 SHI196667 RXM196667 RNQ196667 RDU196667 QTY196667 QKC196667 QAG196667 PQK196667 PGO196667 OWS196667 OMW196667 ODA196667 NTE196667 NJI196667 MZM196667 MPQ196667 MFU196667 LVY196667 LMC196667 LCG196667 KSK196667 KIO196667 JYS196667 JOW196667 JFA196667 IVE196667 ILI196667 IBM196667 HRQ196667 HHU196667 GXY196667 GOC196667 GEG196667 FUK196667 FKO196667 FAS196667 EQW196667 EHA196667 DXE196667 DNI196667 DDM196667 CTQ196667 CJU196667 BZY196667 BQC196667 BGG196667 AWK196667 AMO196667 ACS196667 SW196667 JA196667 E196667 WVM131131 WLQ131131 WBU131131 VRY131131 VIC131131 UYG131131 UOK131131 UEO131131 TUS131131 TKW131131 TBA131131 SRE131131 SHI131131 RXM131131 RNQ131131 RDU131131 QTY131131 QKC131131 QAG131131 PQK131131 PGO131131 OWS131131 OMW131131 ODA131131 NTE131131 NJI131131 MZM131131 MPQ131131 MFU131131 LVY131131 LMC131131 LCG131131 KSK131131 KIO131131 JYS131131 JOW131131 JFA131131 IVE131131 ILI131131 IBM131131 HRQ131131 HHU131131 GXY131131 GOC131131 GEG131131 FUK131131 FKO131131 FAS131131 EQW131131 EHA131131 DXE131131 DNI131131 DDM131131 CTQ131131 CJU131131 BZY131131 BQC131131 BGG131131 AWK131131 AMO131131 ACS131131 SW131131 JA131131 E131131 WVM65595 WLQ65595 WBU65595 VRY65595 VIC65595 UYG65595 UOK65595 UEO65595 TUS65595 TKW65595 TBA65595 SRE65595 SHI65595 RXM65595 RNQ65595 RDU65595 QTY65595 QKC65595 QAG65595 PQK65595 PGO65595 OWS65595 OMW65595 ODA65595 NTE65595 NJI65595 MZM65595 MPQ65595 MFU65595 LVY65595 LMC65595 LCG65595 KSK65595 KIO65595 JYS65595 JOW65595 JFA65595 IVE65595 ILI65595 IBM65595 HRQ65595 HHU65595 GXY65595 GOC65595 GEG65595 FUK65595 FKO65595 FAS65595 EQW65595 EHA65595 DXE65595 DNI65595 DDM65595 CTQ65595 CJU65595 BZY65595 BQC65595 BGG65595 AWK65595 AMO65595 ACS65595 SW65595 JA65595 E65595 WVM59 WLQ59 WBU59 VRY59 VIC59 UYG59 UOK59 UEO59 TUS59 TKW59 TBA59 SRE59 SHI59 RXM59 RNQ59 RDU59 QTY59 QKC59 QAG59 PQK59 PGO59 OWS59 OMW59 ODA59 NTE59 NJI59 MZM59 MPQ59 MFU59 LVY59 LMC59 LCG59 KSK59 KIO59 JYS59 JOW59 JFA59 IVE59 ILI59 IBM59 HRQ59 HHU59 GXY59 GOC59 GEG59 FUK59 FKO59 FAS59 EQW59 EHA59 DXE59 DNI59 DDM59 CTQ59 CJU59 BZY59 BQC59 BGG59 AWK59 AMO59 ACS59 SW59 JA59 WLQ983101:WLQ983102 WVM983080:WVM983096 WLQ983080:WLQ983096 WBU983080:WBU983096 VRY983080:VRY983096 VIC983080:VIC983096 UYG983080:UYG983096 UOK983080:UOK983096 UEO983080:UEO983096 TUS983080:TUS983096 TKW983080:TKW983096 TBA983080:TBA983096 SRE983080:SRE983096 SHI983080:SHI983096 RXM983080:RXM983096 RNQ983080:RNQ983096 RDU983080:RDU983096 QTY983080:QTY983096 QKC983080:QKC983096 QAG983080:QAG983096 PQK983080:PQK983096 PGO983080:PGO983096 OWS983080:OWS983096 OMW983080:OMW983096 ODA983080:ODA983096 NTE983080:NTE983096 NJI983080:NJI983096 MZM983080:MZM983096 MPQ983080:MPQ983096 MFU983080:MFU983096 LVY983080:LVY983096 LMC983080:LMC983096 LCG983080:LCG983096 KSK983080:KSK983096 KIO983080:KIO983096 JYS983080:JYS983096 JOW983080:JOW983096 JFA983080:JFA983096 IVE983080:IVE983096 ILI983080:ILI983096 IBM983080:IBM983096 HRQ983080:HRQ983096 HHU983080:HHU983096 GXY983080:GXY983096 GOC983080:GOC983096 GEG983080:GEG983096 FUK983080:FUK983096 FKO983080:FKO983096 FAS983080:FAS983096 EQW983080:EQW983096 EHA983080:EHA983096 DXE983080:DXE983096 DNI983080:DNI983096 DDM983080:DDM983096 CTQ983080:CTQ983096 CJU983080:CJU983096 BZY983080:BZY983096 BQC983080:BQC983096 BGG983080:BGG983096 AWK983080:AWK983096 AMO983080:AMO983096 ACS983080:ACS983096 SW983080:SW983096 JA983080:JA983096 E983080:E983096 WVM917544:WVM917560 WLQ917544:WLQ917560 WBU917544:WBU917560 VRY917544:VRY917560 VIC917544:VIC917560 UYG917544:UYG917560 UOK917544:UOK917560 UEO917544:UEO917560 TUS917544:TUS917560 TKW917544:TKW917560 TBA917544:TBA917560 SRE917544:SRE917560 SHI917544:SHI917560 RXM917544:RXM917560 RNQ917544:RNQ917560 RDU917544:RDU917560 QTY917544:QTY917560 QKC917544:QKC917560 QAG917544:QAG917560 PQK917544:PQK917560 PGO917544:PGO917560 OWS917544:OWS917560 OMW917544:OMW917560 ODA917544:ODA917560 NTE917544:NTE917560 NJI917544:NJI917560 MZM917544:MZM917560 MPQ917544:MPQ917560 MFU917544:MFU917560 LVY917544:LVY917560 LMC917544:LMC917560 LCG917544:LCG917560 KSK917544:KSK917560 KIO917544:KIO917560 JYS917544:JYS917560 JOW917544:JOW917560 JFA917544:JFA917560 IVE917544:IVE917560 ILI917544:ILI917560 IBM917544:IBM917560 HRQ917544:HRQ917560 HHU917544:HHU917560 GXY917544:GXY917560 GOC917544:GOC917560 GEG917544:GEG917560 FUK917544:FUK917560 FKO917544:FKO917560 FAS917544:FAS917560 EQW917544:EQW917560 EHA917544:EHA917560 DXE917544:DXE917560 DNI917544:DNI917560 DDM917544:DDM917560 CTQ917544:CTQ917560 CJU917544:CJU917560 BZY917544:BZY917560 BQC917544:BQC917560 BGG917544:BGG917560 AWK917544:AWK917560 AMO917544:AMO917560 ACS917544:ACS917560 SW917544:SW917560 JA917544:JA917560 E917544:E917560 WVM852008:WVM852024 WLQ852008:WLQ852024 WBU852008:WBU852024 VRY852008:VRY852024 VIC852008:VIC852024 UYG852008:UYG852024 UOK852008:UOK852024 UEO852008:UEO852024 TUS852008:TUS852024 TKW852008:TKW852024 TBA852008:TBA852024 SRE852008:SRE852024 SHI852008:SHI852024 RXM852008:RXM852024 RNQ852008:RNQ852024 RDU852008:RDU852024 QTY852008:QTY852024 QKC852008:QKC852024 QAG852008:QAG852024 PQK852008:PQK852024 PGO852008:PGO852024 OWS852008:OWS852024 OMW852008:OMW852024 ODA852008:ODA852024 NTE852008:NTE852024 NJI852008:NJI852024 MZM852008:MZM852024 MPQ852008:MPQ852024 MFU852008:MFU852024 LVY852008:LVY852024 LMC852008:LMC852024 LCG852008:LCG852024 KSK852008:KSK852024 KIO852008:KIO852024 JYS852008:JYS852024 JOW852008:JOW852024 JFA852008:JFA852024 IVE852008:IVE852024 ILI852008:ILI852024 IBM852008:IBM852024 HRQ852008:HRQ852024 HHU852008:HHU852024 GXY852008:GXY852024 GOC852008:GOC852024 GEG852008:GEG852024 FUK852008:FUK852024 FKO852008:FKO852024 FAS852008:FAS852024 EQW852008:EQW852024 EHA852008:EHA852024 DXE852008:DXE852024 DNI852008:DNI852024 DDM852008:DDM852024 CTQ852008:CTQ852024 CJU852008:CJU852024 BZY852008:BZY852024 BQC852008:BQC852024 BGG852008:BGG852024 AWK852008:AWK852024 AMO852008:AMO852024 ACS852008:ACS852024 SW852008:SW852024 JA852008:JA852024 E852008:E852024 WVM786472:WVM786488 WLQ786472:WLQ786488 WBU786472:WBU786488 VRY786472:VRY786488 VIC786472:VIC786488 UYG786472:UYG786488 UOK786472:UOK786488 UEO786472:UEO786488 TUS786472:TUS786488 TKW786472:TKW786488 TBA786472:TBA786488 SRE786472:SRE786488 SHI786472:SHI786488 RXM786472:RXM786488 RNQ786472:RNQ786488 RDU786472:RDU786488 QTY786472:QTY786488 QKC786472:QKC786488 QAG786472:QAG786488 PQK786472:PQK786488 PGO786472:PGO786488 OWS786472:OWS786488 OMW786472:OMW786488 ODA786472:ODA786488 NTE786472:NTE786488 NJI786472:NJI786488 MZM786472:MZM786488 MPQ786472:MPQ786488 MFU786472:MFU786488 LVY786472:LVY786488 LMC786472:LMC786488 LCG786472:LCG786488 KSK786472:KSK786488 KIO786472:KIO786488 JYS786472:JYS786488 JOW786472:JOW786488 JFA786472:JFA786488 IVE786472:IVE786488 ILI786472:ILI786488 IBM786472:IBM786488 HRQ786472:HRQ786488 HHU786472:HHU786488 GXY786472:GXY786488 GOC786472:GOC786488 GEG786472:GEG786488 FUK786472:FUK786488 FKO786472:FKO786488 FAS786472:FAS786488 EQW786472:EQW786488 EHA786472:EHA786488 DXE786472:DXE786488 DNI786472:DNI786488 DDM786472:DDM786488 CTQ786472:CTQ786488 CJU786472:CJU786488 BZY786472:BZY786488 BQC786472:BQC786488 BGG786472:BGG786488 AWK786472:AWK786488 AMO786472:AMO786488 ACS786472:ACS786488 SW786472:SW786488 JA786472:JA786488 E786472:E786488 WVM720936:WVM720952 WLQ720936:WLQ720952 WBU720936:WBU720952 VRY720936:VRY720952 VIC720936:VIC720952 UYG720936:UYG720952 UOK720936:UOK720952 UEO720936:UEO720952 TUS720936:TUS720952 TKW720936:TKW720952 TBA720936:TBA720952 SRE720936:SRE720952 SHI720936:SHI720952 RXM720936:RXM720952 RNQ720936:RNQ720952 RDU720936:RDU720952 QTY720936:QTY720952 QKC720936:QKC720952 QAG720936:QAG720952 PQK720936:PQK720952 PGO720936:PGO720952 OWS720936:OWS720952 OMW720936:OMW720952 ODA720936:ODA720952 NTE720936:NTE720952 NJI720936:NJI720952 MZM720936:MZM720952 MPQ720936:MPQ720952 MFU720936:MFU720952 LVY720936:LVY720952 LMC720936:LMC720952 LCG720936:LCG720952 KSK720936:KSK720952 KIO720936:KIO720952 JYS720936:JYS720952 JOW720936:JOW720952 JFA720936:JFA720952 IVE720936:IVE720952 ILI720936:ILI720952 IBM720936:IBM720952 HRQ720936:HRQ720952 HHU720936:HHU720952 GXY720936:GXY720952 GOC720936:GOC720952 GEG720936:GEG720952 FUK720936:FUK720952 FKO720936:FKO720952 FAS720936:FAS720952 EQW720936:EQW720952 EHA720936:EHA720952 DXE720936:DXE720952 DNI720936:DNI720952 DDM720936:DDM720952 CTQ720936:CTQ720952 CJU720936:CJU720952 BZY720936:BZY720952 BQC720936:BQC720952 BGG720936:BGG720952 AWK720936:AWK720952 AMO720936:AMO720952 ACS720936:ACS720952 SW720936:SW720952 JA720936:JA720952 E720936:E720952 WVM655400:WVM655416 WLQ655400:WLQ655416 WBU655400:WBU655416 VRY655400:VRY655416 VIC655400:VIC655416 UYG655400:UYG655416 UOK655400:UOK655416 UEO655400:UEO655416 TUS655400:TUS655416 TKW655400:TKW655416 TBA655400:TBA655416 SRE655400:SRE655416 SHI655400:SHI655416 RXM655400:RXM655416 RNQ655400:RNQ655416 RDU655400:RDU655416 QTY655400:QTY655416 QKC655400:QKC655416 QAG655400:QAG655416 PQK655400:PQK655416 PGO655400:PGO655416 OWS655400:OWS655416 OMW655400:OMW655416 ODA655400:ODA655416 NTE655400:NTE655416 NJI655400:NJI655416 MZM655400:MZM655416 MPQ655400:MPQ655416 MFU655400:MFU655416 LVY655400:LVY655416 LMC655400:LMC655416 LCG655400:LCG655416 KSK655400:KSK655416 KIO655400:KIO655416 JYS655400:JYS655416 JOW655400:JOW655416 JFA655400:JFA655416 IVE655400:IVE655416 ILI655400:ILI655416 IBM655400:IBM655416 HRQ655400:HRQ655416 HHU655400:HHU655416 GXY655400:GXY655416 GOC655400:GOC655416 GEG655400:GEG655416 FUK655400:FUK655416 FKO655400:FKO655416 FAS655400:FAS655416 EQW655400:EQW655416 EHA655400:EHA655416 DXE655400:DXE655416 DNI655400:DNI655416 DDM655400:DDM655416 CTQ655400:CTQ655416 CJU655400:CJU655416 BZY655400:BZY655416 BQC655400:BQC655416 BGG655400:BGG655416 AWK655400:AWK655416 AMO655400:AMO655416 ACS655400:ACS655416 SW655400:SW655416 JA655400:JA655416 E655400:E655416 WVM589864:WVM589880 WLQ589864:WLQ589880 WBU589864:WBU589880 VRY589864:VRY589880 VIC589864:VIC589880 UYG589864:UYG589880 UOK589864:UOK589880 UEO589864:UEO589880 TUS589864:TUS589880 TKW589864:TKW589880 TBA589864:TBA589880 SRE589864:SRE589880 SHI589864:SHI589880 RXM589864:RXM589880 RNQ589864:RNQ589880 RDU589864:RDU589880 QTY589864:QTY589880 QKC589864:QKC589880 QAG589864:QAG589880 PQK589864:PQK589880 PGO589864:PGO589880 OWS589864:OWS589880 OMW589864:OMW589880 ODA589864:ODA589880 NTE589864:NTE589880 NJI589864:NJI589880 MZM589864:MZM589880 MPQ589864:MPQ589880 MFU589864:MFU589880 LVY589864:LVY589880 LMC589864:LMC589880 LCG589864:LCG589880 KSK589864:KSK589880 KIO589864:KIO589880 JYS589864:JYS589880 JOW589864:JOW589880 JFA589864:JFA589880 IVE589864:IVE589880 ILI589864:ILI589880 IBM589864:IBM589880 HRQ589864:HRQ589880 HHU589864:HHU589880 GXY589864:GXY589880 GOC589864:GOC589880 GEG589864:GEG589880 FUK589864:FUK589880 FKO589864:FKO589880 FAS589864:FAS589880 EQW589864:EQW589880 EHA589864:EHA589880 DXE589864:DXE589880 DNI589864:DNI589880 DDM589864:DDM589880 CTQ589864:CTQ589880 CJU589864:CJU589880 BZY589864:BZY589880 BQC589864:BQC589880 BGG589864:BGG589880 AWK589864:AWK589880 AMO589864:AMO589880 ACS589864:ACS589880 SW589864:SW589880 JA589864:JA589880 E589864:E589880 WVM524328:WVM524344 WLQ524328:WLQ524344 WBU524328:WBU524344 VRY524328:VRY524344 VIC524328:VIC524344 UYG524328:UYG524344 UOK524328:UOK524344 UEO524328:UEO524344 TUS524328:TUS524344 TKW524328:TKW524344 TBA524328:TBA524344 SRE524328:SRE524344 SHI524328:SHI524344 RXM524328:RXM524344 RNQ524328:RNQ524344 RDU524328:RDU524344 QTY524328:QTY524344 QKC524328:QKC524344 QAG524328:QAG524344 PQK524328:PQK524344 PGO524328:PGO524344 OWS524328:OWS524344 OMW524328:OMW524344 ODA524328:ODA524344 NTE524328:NTE524344 NJI524328:NJI524344 MZM524328:MZM524344 MPQ524328:MPQ524344 MFU524328:MFU524344 LVY524328:LVY524344 LMC524328:LMC524344 LCG524328:LCG524344 KSK524328:KSK524344 KIO524328:KIO524344 JYS524328:JYS524344 JOW524328:JOW524344 JFA524328:JFA524344 IVE524328:IVE524344 ILI524328:ILI524344 IBM524328:IBM524344 HRQ524328:HRQ524344 HHU524328:HHU524344 GXY524328:GXY524344 GOC524328:GOC524344 GEG524328:GEG524344 FUK524328:FUK524344 FKO524328:FKO524344 FAS524328:FAS524344 EQW524328:EQW524344 EHA524328:EHA524344 DXE524328:DXE524344 DNI524328:DNI524344 DDM524328:DDM524344 CTQ524328:CTQ524344 CJU524328:CJU524344 BZY524328:BZY524344 BQC524328:BQC524344 BGG524328:BGG524344 AWK524328:AWK524344 AMO524328:AMO524344 ACS524328:ACS524344 SW524328:SW524344 JA524328:JA524344 E524328:E524344 WVM458792:WVM458808 WLQ458792:WLQ458808 WBU458792:WBU458808 VRY458792:VRY458808 VIC458792:VIC458808 UYG458792:UYG458808 UOK458792:UOK458808 UEO458792:UEO458808 TUS458792:TUS458808 TKW458792:TKW458808 TBA458792:TBA458808 SRE458792:SRE458808 SHI458792:SHI458808 RXM458792:RXM458808 RNQ458792:RNQ458808 RDU458792:RDU458808 QTY458792:QTY458808 QKC458792:QKC458808 QAG458792:QAG458808 PQK458792:PQK458808 PGO458792:PGO458808 OWS458792:OWS458808 OMW458792:OMW458808 ODA458792:ODA458808 NTE458792:NTE458808 NJI458792:NJI458808 MZM458792:MZM458808 MPQ458792:MPQ458808 MFU458792:MFU458808 LVY458792:LVY458808 LMC458792:LMC458808 LCG458792:LCG458808 KSK458792:KSK458808 KIO458792:KIO458808 JYS458792:JYS458808 JOW458792:JOW458808 JFA458792:JFA458808 IVE458792:IVE458808 ILI458792:ILI458808 IBM458792:IBM458808 HRQ458792:HRQ458808 HHU458792:HHU458808 GXY458792:GXY458808 GOC458792:GOC458808 GEG458792:GEG458808 FUK458792:FUK458808 FKO458792:FKO458808 FAS458792:FAS458808 EQW458792:EQW458808 EHA458792:EHA458808 DXE458792:DXE458808 DNI458792:DNI458808 DDM458792:DDM458808 CTQ458792:CTQ458808 CJU458792:CJU458808 BZY458792:BZY458808 BQC458792:BQC458808 BGG458792:BGG458808 AWK458792:AWK458808 AMO458792:AMO458808 ACS458792:ACS458808 SW458792:SW458808 JA458792:JA458808 E458792:E458808 WVM393256:WVM393272 WLQ393256:WLQ393272 WBU393256:WBU393272 VRY393256:VRY393272 VIC393256:VIC393272 UYG393256:UYG393272 UOK393256:UOK393272 UEO393256:UEO393272 TUS393256:TUS393272 TKW393256:TKW393272 TBA393256:TBA393272 SRE393256:SRE393272 SHI393256:SHI393272 RXM393256:RXM393272 RNQ393256:RNQ393272 RDU393256:RDU393272 QTY393256:QTY393272 QKC393256:QKC393272 QAG393256:QAG393272 PQK393256:PQK393272 PGO393256:PGO393272 OWS393256:OWS393272 OMW393256:OMW393272 ODA393256:ODA393272 NTE393256:NTE393272 NJI393256:NJI393272 MZM393256:MZM393272 MPQ393256:MPQ393272 MFU393256:MFU393272 LVY393256:LVY393272 LMC393256:LMC393272 LCG393256:LCG393272 KSK393256:KSK393272 KIO393256:KIO393272 JYS393256:JYS393272 JOW393256:JOW393272 JFA393256:JFA393272 IVE393256:IVE393272 ILI393256:ILI393272 IBM393256:IBM393272 HRQ393256:HRQ393272 HHU393256:HHU393272 GXY393256:GXY393272 GOC393256:GOC393272 GEG393256:GEG393272 FUK393256:FUK393272 FKO393256:FKO393272 FAS393256:FAS393272 EQW393256:EQW393272 EHA393256:EHA393272 DXE393256:DXE393272 DNI393256:DNI393272 DDM393256:DDM393272 CTQ393256:CTQ393272 CJU393256:CJU393272 BZY393256:BZY393272 BQC393256:BQC393272 BGG393256:BGG393272 AWK393256:AWK393272 AMO393256:AMO393272 ACS393256:ACS393272 SW393256:SW393272 JA393256:JA393272 E393256:E393272 WVM327720:WVM327736 WLQ327720:WLQ327736 WBU327720:WBU327736 VRY327720:VRY327736 VIC327720:VIC327736 UYG327720:UYG327736 UOK327720:UOK327736 UEO327720:UEO327736 TUS327720:TUS327736 TKW327720:TKW327736 TBA327720:TBA327736 SRE327720:SRE327736 SHI327720:SHI327736 RXM327720:RXM327736 RNQ327720:RNQ327736 RDU327720:RDU327736 QTY327720:QTY327736 QKC327720:QKC327736 QAG327720:QAG327736 PQK327720:PQK327736 PGO327720:PGO327736 OWS327720:OWS327736 OMW327720:OMW327736 ODA327720:ODA327736 NTE327720:NTE327736 NJI327720:NJI327736 MZM327720:MZM327736 MPQ327720:MPQ327736 MFU327720:MFU327736 LVY327720:LVY327736 LMC327720:LMC327736 LCG327720:LCG327736 KSK327720:KSK327736 KIO327720:KIO327736 JYS327720:JYS327736 JOW327720:JOW327736 JFA327720:JFA327736 IVE327720:IVE327736 ILI327720:ILI327736 IBM327720:IBM327736 HRQ327720:HRQ327736 HHU327720:HHU327736 GXY327720:GXY327736 GOC327720:GOC327736 GEG327720:GEG327736 FUK327720:FUK327736 FKO327720:FKO327736 FAS327720:FAS327736 EQW327720:EQW327736 EHA327720:EHA327736 DXE327720:DXE327736 DNI327720:DNI327736 DDM327720:DDM327736 CTQ327720:CTQ327736 CJU327720:CJU327736 BZY327720:BZY327736 BQC327720:BQC327736 BGG327720:BGG327736 AWK327720:AWK327736 AMO327720:AMO327736 ACS327720:ACS327736 SW327720:SW327736 JA327720:JA327736 E327720:E327736 WVM262184:WVM262200 WLQ262184:WLQ262200 WBU262184:WBU262200 VRY262184:VRY262200 VIC262184:VIC262200 UYG262184:UYG262200 UOK262184:UOK262200 UEO262184:UEO262200 TUS262184:TUS262200 TKW262184:TKW262200 TBA262184:TBA262200 SRE262184:SRE262200 SHI262184:SHI262200 RXM262184:RXM262200 RNQ262184:RNQ262200 RDU262184:RDU262200 QTY262184:QTY262200 QKC262184:QKC262200 QAG262184:QAG262200 PQK262184:PQK262200 PGO262184:PGO262200 OWS262184:OWS262200 OMW262184:OMW262200 ODA262184:ODA262200 NTE262184:NTE262200 NJI262184:NJI262200 MZM262184:MZM262200 MPQ262184:MPQ262200 MFU262184:MFU262200 LVY262184:LVY262200 LMC262184:LMC262200 LCG262184:LCG262200 KSK262184:KSK262200 KIO262184:KIO262200 JYS262184:JYS262200 JOW262184:JOW262200 JFA262184:JFA262200 IVE262184:IVE262200 ILI262184:ILI262200 IBM262184:IBM262200 HRQ262184:HRQ262200 HHU262184:HHU262200 GXY262184:GXY262200 GOC262184:GOC262200 GEG262184:GEG262200 FUK262184:FUK262200 FKO262184:FKO262200 FAS262184:FAS262200 EQW262184:EQW262200 EHA262184:EHA262200 DXE262184:DXE262200 DNI262184:DNI262200 DDM262184:DDM262200 CTQ262184:CTQ262200 CJU262184:CJU262200 BZY262184:BZY262200 BQC262184:BQC262200 BGG262184:BGG262200 AWK262184:AWK262200 AMO262184:AMO262200 ACS262184:ACS262200 SW262184:SW262200 JA262184:JA262200 E262184:E262200 WVM196648:WVM196664 WLQ196648:WLQ196664 WBU196648:WBU196664 VRY196648:VRY196664 VIC196648:VIC196664 UYG196648:UYG196664 UOK196648:UOK196664 UEO196648:UEO196664 TUS196648:TUS196664 TKW196648:TKW196664 TBA196648:TBA196664 SRE196648:SRE196664 SHI196648:SHI196664 RXM196648:RXM196664 RNQ196648:RNQ196664 RDU196648:RDU196664 QTY196648:QTY196664 QKC196648:QKC196664 QAG196648:QAG196664 PQK196648:PQK196664 PGO196648:PGO196664 OWS196648:OWS196664 OMW196648:OMW196664 ODA196648:ODA196664 NTE196648:NTE196664 NJI196648:NJI196664 MZM196648:MZM196664 MPQ196648:MPQ196664 MFU196648:MFU196664 LVY196648:LVY196664 LMC196648:LMC196664 LCG196648:LCG196664 KSK196648:KSK196664 KIO196648:KIO196664 JYS196648:JYS196664 JOW196648:JOW196664 JFA196648:JFA196664 IVE196648:IVE196664 ILI196648:ILI196664 IBM196648:IBM196664 HRQ196648:HRQ196664 HHU196648:HHU196664 GXY196648:GXY196664 GOC196648:GOC196664 GEG196648:GEG196664 FUK196648:FUK196664 FKO196648:FKO196664 FAS196648:FAS196664 EQW196648:EQW196664 EHA196648:EHA196664 DXE196648:DXE196664 DNI196648:DNI196664 DDM196648:DDM196664 CTQ196648:CTQ196664 CJU196648:CJU196664 BZY196648:BZY196664 BQC196648:BQC196664 BGG196648:BGG196664 AWK196648:AWK196664 AMO196648:AMO196664 ACS196648:ACS196664 SW196648:SW196664 JA196648:JA196664 E196648:E196664 WVM131112:WVM131128 WLQ131112:WLQ131128 WBU131112:WBU131128 VRY131112:VRY131128 VIC131112:VIC131128 UYG131112:UYG131128 UOK131112:UOK131128 UEO131112:UEO131128 TUS131112:TUS131128 TKW131112:TKW131128 TBA131112:TBA131128 SRE131112:SRE131128 SHI131112:SHI131128 RXM131112:RXM131128 RNQ131112:RNQ131128 RDU131112:RDU131128 QTY131112:QTY131128 QKC131112:QKC131128 QAG131112:QAG131128 PQK131112:PQK131128 PGO131112:PGO131128 OWS131112:OWS131128 OMW131112:OMW131128 ODA131112:ODA131128 NTE131112:NTE131128 NJI131112:NJI131128 MZM131112:MZM131128 MPQ131112:MPQ131128 MFU131112:MFU131128 LVY131112:LVY131128 LMC131112:LMC131128 LCG131112:LCG131128 KSK131112:KSK131128 KIO131112:KIO131128 JYS131112:JYS131128 JOW131112:JOW131128 JFA131112:JFA131128 IVE131112:IVE131128 ILI131112:ILI131128 IBM131112:IBM131128 HRQ131112:HRQ131128 HHU131112:HHU131128 GXY131112:GXY131128 GOC131112:GOC131128 GEG131112:GEG131128 FUK131112:FUK131128 FKO131112:FKO131128 FAS131112:FAS131128 EQW131112:EQW131128 EHA131112:EHA131128 DXE131112:DXE131128 DNI131112:DNI131128 DDM131112:DDM131128 CTQ131112:CTQ131128 CJU131112:CJU131128 BZY131112:BZY131128 BQC131112:BQC131128 BGG131112:BGG131128 AWK131112:AWK131128 AMO131112:AMO131128 ACS131112:ACS131128 SW131112:SW131128 JA131112:JA131128 E131112:E131128 WVM65576:WVM65592 WLQ65576:WLQ65592 WBU65576:WBU65592 VRY65576:VRY65592 VIC65576:VIC65592 UYG65576:UYG65592 UOK65576:UOK65592 UEO65576:UEO65592 TUS65576:TUS65592 TKW65576:TKW65592 TBA65576:TBA65592 SRE65576:SRE65592 SHI65576:SHI65592 RXM65576:RXM65592 RNQ65576:RNQ65592 RDU65576:RDU65592 QTY65576:QTY65592 QKC65576:QKC65592 QAG65576:QAG65592 PQK65576:PQK65592 PGO65576:PGO65592 OWS65576:OWS65592 OMW65576:OMW65592 ODA65576:ODA65592 NTE65576:NTE65592 NJI65576:NJI65592 MZM65576:MZM65592 MPQ65576:MPQ65592 MFU65576:MFU65592 LVY65576:LVY65592 LMC65576:LMC65592 LCG65576:LCG65592 KSK65576:KSK65592 KIO65576:KIO65592 JYS65576:JYS65592 JOW65576:JOW65592 JFA65576:JFA65592 IVE65576:IVE65592 ILI65576:ILI65592 IBM65576:IBM65592 HRQ65576:HRQ65592 HHU65576:HHU65592 GXY65576:GXY65592 GOC65576:GOC65592 GEG65576:GEG65592 FUK65576:FUK65592 FKO65576:FKO65592 FAS65576:FAS65592 EQW65576:EQW65592 EHA65576:EHA65592 DXE65576:DXE65592 DNI65576:DNI65592 DDM65576:DDM65592 CTQ65576:CTQ65592 CJU65576:CJU65592 BZY65576:BZY65592 BQC65576:BQC65592 BGG65576:BGG65592 AWK65576:AWK65592 AMO65576:AMO65592 ACS65576:ACS65592 SW65576:SW65592 JA65576:JA65592 E65576:E65592 WVM40:WVM56 WLQ40:WLQ56 WBU40:WBU56 VRY40:VRY56 VIC40:VIC56 UYG40:UYG56 UOK40:UOK56 UEO40:UEO56 TUS40:TUS56 TKW40:TKW56 TBA40:TBA56 SRE40:SRE56 SHI40:SHI56 RXM40:RXM56 RNQ40:RNQ56 RDU40:RDU56 QTY40:QTY56 QKC40:QKC56 QAG40:QAG56 PQK40:PQK56 PGO40:PGO56 OWS40:OWS56 OMW40:OMW56 ODA40:ODA56 NTE40:NTE56 NJI40:NJI56 MZM40:MZM56 MPQ40:MPQ56 MFU40:MFU56 LVY40:LVY56 LMC40:LMC56 LCG40:LCG56 KSK40:KSK56 KIO40:KIO56 JYS40:JYS56 JOW40:JOW56 JFA40:JFA56 IVE40:IVE56 ILI40:ILI56 IBM40:IBM56 HRQ40:HRQ56 HHU40:HHU56 GXY40:GXY56 GOC40:GOC56 GEG40:GEG56 FUK40:FUK56 FKO40:FKO56 FAS40:FAS56 EQW40:EQW56 EHA40:EHA56 DXE40:DXE56 DNI40:DNI56 DDM40:DDM56 CTQ40:CTQ56 CJU40:CJU56 BZY40:BZY56 BQC40:BQC56 BGG40:BGG56 AWK40:AWK56 AMO40:AMO56 ACS40:ACS56 SW40:SW56 JA40:JA56">
      <formula1>"IDE,WebAPI,WebSamples"</formula1>
    </dataValidation>
    <dataValidation type="list" allowBlank="1" showInputMessage="1" showErrorMessage="1" sqref="WVN983080:WVN983089 F101:F205 H40:H100 WLR983080:WLR983089 WBV983080:WBV983089 VRZ983080:VRZ983089 VID983080:VID983089 UYH983080:UYH983089 UOL983080:UOL983089 UEP983080:UEP983089 TUT983080:TUT983089 TKX983080:TKX983089 TBB983080:TBB983089 SRF983080:SRF983089 SHJ983080:SHJ983089 RXN983080:RXN983089 RNR983080:RNR983089 RDV983080:RDV983089 QTZ983080:QTZ983089 QKD983080:QKD983089 QAH983080:QAH983089 PQL983080:PQL983089 PGP983080:PGP983089 OWT983080:OWT983089 OMX983080:OMX983089 ODB983080:ODB983089 NTF983080:NTF983089 NJJ983080:NJJ983089 MZN983080:MZN983089 MPR983080:MPR983089 MFV983080:MFV983089 LVZ983080:LVZ983089 LMD983080:LMD983089 LCH983080:LCH983089 KSL983080:KSL983089 KIP983080:KIP983089 JYT983080:JYT983089 JOX983080:JOX983089 JFB983080:JFB983089 IVF983080:IVF983089 ILJ983080:ILJ983089 IBN983080:IBN983089 HRR983080:HRR983089 HHV983080:HHV983089 GXZ983080:GXZ983089 GOD983080:GOD983089 GEH983080:GEH983089 FUL983080:FUL983089 FKP983080:FKP983089 FAT983080:FAT983089 EQX983080:EQX983089 EHB983080:EHB983089 DXF983080:DXF983089 DNJ983080:DNJ983089 DDN983080:DDN983089 CTR983080:CTR983089 CJV983080:CJV983089 BZZ983080:BZZ983089 BQD983080:BQD983089 BGH983080:BGH983089 AWL983080:AWL983089 AMP983080:AMP983089 ACT983080:ACT983089 SX983080:SX983089 JB983080:JB983089 F983080:F983089 WVN917544:WVN917553 WLR917544:WLR917553 WBV917544:WBV917553 VRZ917544:VRZ917553 VID917544:VID917553 UYH917544:UYH917553 UOL917544:UOL917553 UEP917544:UEP917553 TUT917544:TUT917553 TKX917544:TKX917553 TBB917544:TBB917553 SRF917544:SRF917553 SHJ917544:SHJ917553 RXN917544:RXN917553 RNR917544:RNR917553 RDV917544:RDV917553 QTZ917544:QTZ917553 QKD917544:QKD917553 QAH917544:QAH917553 PQL917544:PQL917553 PGP917544:PGP917553 OWT917544:OWT917553 OMX917544:OMX917553 ODB917544:ODB917553 NTF917544:NTF917553 NJJ917544:NJJ917553 MZN917544:MZN917553 MPR917544:MPR917553 MFV917544:MFV917553 LVZ917544:LVZ917553 LMD917544:LMD917553 LCH917544:LCH917553 KSL917544:KSL917553 KIP917544:KIP917553 JYT917544:JYT917553 JOX917544:JOX917553 JFB917544:JFB917553 IVF917544:IVF917553 ILJ917544:ILJ917553 IBN917544:IBN917553 HRR917544:HRR917553 HHV917544:HHV917553 GXZ917544:GXZ917553 GOD917544:GOD917553 GEH917544:GEH917553 FUL917544:FUL917553 FKP917544:FKP917553 FAT917544:FAT917553 EQX917544:EQX917553 EHB917544:EHB917553 DXF917544:DXF917553 DNJ917544:DNJ917553 DDN917544:DDN917553 CTR917544:CTR917553 CJV917544:CJV917553 BZZ917544:BZZ917553 BQD917544:BQD917553 BGH917544:BGH917553 AWL917544:AWL917553 AMP917544:AMP917553 ACT917544:ACT917553 SX917544:SX917553 JB917544:JB917553 F917544:F917553 WVN852008:WVN852017 WLR852008:WLR852017 WBV852008:WBV852017 VRZ852008:VRZ852017 VID852008:VID852017 UYH852008:UYH852017 UOL852008:UOL852017 UEP852008:UEP852017 TUT852008:TUT852017 TKX852008:TKX852017 TBB852008:TBB852017 SRF852008:SRF852017 SHJ852008:SHJ852017 RXN852008:RXN852017 RNR852008:RNR852017 RDV852008:RDV852017 QTZ852008:QTZ852017 QKD852008:QKD852017 QAH852008:QAH852017 PQL852008:PQL852017 PGP852008:PGP852017 OWT852008:OWT852017 OMX852008:OMX852017 ODB852008:ODB852017 NTF852008:NTF852017 NJJ852008:NJJ852017 MZN852008:MZN852017 MPR852008:MPR852017 MFV852008:MFV852017 LVZ852008:LVZ852017 LMD852008:LMD852017 LCH852008:LCH852017 KSL852008:KSL852017 KIP852008:KIP852017 JYT852008:JYT852017 JOX852008:JOX852017 JFB852008:JFB852017 IVF852008:IVF852017 ILJ852008:ILJ852017 IBN852008:IBN852017 HRR852008:HRR852017 HHV852008:HHV852017 GXZ852008:GXZ852017 GOD852008:GOD852017 GEH852008:GEH852017 FUL852008:FUL852017 FKP852008:FKP852017 FAT852008:FAT852017 EQX852008:EQX852017 EHB852008:EHB852017 DXF852008:DXF852017 DNJ852008:DNJ852017 DDN852008:DDN852017 CTR852008:CTR852017 CJV852008:CJV852017 BZZ852008:BZZ852017 BQD852008:BQD852017 BGH852008:BGH852017 AWL852008:AWL852017 AMP852008:AMP852017 ACT852008:ACT852017 SX852008:SX852017 JB852008:JB852017 F852008:F852017 WVN786472:WVN786481 WLR786472:WLR786481 WBV786472:WBV786481 VRZ786472:VRZ786481 VID786472:VID786481 UYH786472:UYH786481 UOL786472:UOL786481 UEP786472:UEP786481 TUT786472:TUT786481 TKX786472:TKX786481 TBB786472:TBB786481 SRF786472:SRF786481 SHJ786472:SHJ786481 RXN786472:RXN786481 RNR786472:RNR786481 RDV786472:RDV786481 QTZ786472:QTZ786481 QKD786472:QKD786481 QAH786472:QAH786481 PQL786472:PQL786481 PGP786472:PGP786481 OWT786472:OWT786481 OMX786472:OMX786481 ODB786472:ODB786481 NTF786472:NTF786481 NJJ786472:NJJ786481 MZN786472:MZN786481 MPR786472:MPR786481 MFV786472:MFV786481 LVZ786472:LVZ786481 LMD786472:LMD786481 LCH786472:LCH786481 KSL786472:KSL786481 KIP786472:KIP786481 JYT786472:JYT786481 JOX786472:JOX786481 JFB786472:JFB786481 IVF786472:IVF786481 ILJ786472:ILJ786481 IBN786472:IBN786481 HRR786472:HRR786481 HHV786472:HHV786481 GXZ786472:GXZ786481 GOD786472:GOD786481 GEH786472:GEH786481 FUL786472:FUL786481 FKP786472:FKP786481 FAT786472:FAT786481 EQX786472:EQX786481 EHB786472:EHB786481 DXF786472:DXF786481 DNJ786472:DNJ786481 DDN786472:DDN786481 CTR786472:CTR786481 CJV786472:CJV786481 BZZ786472:BZZ786481 BQD786472:BQD786481 BGH786472:BGH786481 AWL786472:AWL786481 AMP786472:AMP786481 ACT786472:ACT786481 SX786472:SX786481 JB786472:JB786481 F786472:F786481 WVN720936:WVN720945 WLR720936:WLR720945 WBV720936:WBV720945 VRZ720936:VRZ720945 VID720936:VID720945 UYH720936:UYH720945 UOL720936:UOL720945 UEP720936:UEP720945 TUT720936:TUT720945 TKX720936:TKX720945 TBB720936:TBB720945 SRF720936:SRF720945 SHJ720936:SHJ720945 RXN720936:RXN720945 RNR720936:RNR720945 RDV720936:RDV720945 QTZ720936:QTZ720945 QKD720936:QKD720945 QAH720936:QAH720945 PQL720936:PQL720945 PGP720936:PGP720945 OWT720936:OWT720945 OMX720936:OMX720945 ODB720936:ODB720945 NTF720936:NTF720945 NJJ720936:NJJ720945 MZN720936:MZN720945 MPR720936:MPR720945 MFV720936:MFV720945 LVZ720936:LVZ720945 LMD720936:LMD720945 LCH720936:LCH720945 KSL720936:KSL720945 KIP720936:KIP720945 JYT720936:JYT720945 JOX720936:JOX720945 JFB720936:JFB720945 IVF720936:IVF720945 ILJ720936:ILJ720945 IBN720936:IBN720945 HRR720936:HRR720945 HHV720936:HHV720945 GXZ720936:GXZ720945 GOD720936:GOD720945 GEH720936:GEH720945 FUL720936:FUL720945 FKP720936:FKP720945 FAT720936:FAT720945 EQX720936:EQX720945 EHB720936:EHB720945 DXF720936:DXF720945 DNJ720936:DNJ720945 DDN720936:DDN720945 CTR720936:CTR720945 CJV720936:CJV720945 BZZ720936:BZZ720945 BQD720936:BQD720945 BGH720936:BGH720945 AWL720936:AWL720945 AMP720936:AMP720945 ACT720936:ACT720945 SX720936:SX720945 JB720936:JB720945 F720936:F720945 WVN655400:WVN655409 WLR655400:WLR655409 WBV655400:WBV655409 VRZ655400:VRZ655409 VID655400:VID655409 UYH655400:UYH655409 UOL655400:UOL655409 UEP655400:UEP655409 TUT655400:TUT655409 TKX655400:TKX655409 TBB655400:TBB655409 SRF655400:SRF655409 SHJ655400:SHJ655409 RXN655400:RXN655409 RNR655400:RNR655409 RDV655400:RDV655409 QTZ655400:QTZ655409 QKD655400:QKD655409 QAH655400:QAH655409 PQL655400:PQL655409 PGP655400:PGP655409 OWT655400:OWT655409 OMX655400:OMX655409 ODB655400:ODB655409 NTF655400:NTF655409 NJJ655400:NJJ655409 MZN655400:MZN655409 MPR655400:MPR655409 MFV655400:MFV655409 LVZ655400:LVZ655409 LMD655400:LMD655409 LCH655400:LCH655409 KSL655400:KSL655409 KIP655400:KIP655409 JYT655400:JYT655409 JOX655400:JOX655409 JFB655400:JFB655409 IVF655400:IVF655409 ILJ655400:ILJ655409 IBN655400:IBN655409 HRR655400:HRR655409 HHV655400:HHV655409 GXZ655400:GXZ655409 GOD655400:GOD655409 GEH655400:GEH655409 FUL655400:FUL655409 FKP655400:FKP655409 FAT655400:FAT655409 EQX655400:EQX655409 EHB655400:EHB655409 DXF655400:DXF655409 DNJ655400:DNJ655409 DDN655400:DDN655409 CTR655400:CTR655409 CJV655400:CJV655409 BZZ655400:BZZ655409 BQD655400:BQD655409 BGH655400:BGH655409 AWL655400:AWL655409 AMP655400:AMP655409 ACT655400:ACT655409 SX655400:SX655409 JB655400:JB655409 F655400:F655409 WVN589864:WVN589873 WLR589864:WLR589873 WBV589864:WBV589873 VRZ589864:VRZ589873 VID589864:VID589873 UYH589864:UYH589873 UOL589864:UOL589873 UEP589864:UEP589873 TUT589864:TUT589873 TKX589864:TKX589873 TBB589864:TBB589873 SRF589864:SRF589873 SHJ589864:SHJ589873 RXN589864:RXN589873 RNR589864:RNR589873 RDV589864:RDV589873 QTZ589864:QTZ589873 QKD589864:QKD589873 QAH589864:QAH589873 PQL589864:PQL589873 PGP589864:PGP589873 OWT589864:OWT589873 OMX589864:OMX589873 ODB589864:ODB589873 NTF589864:NTF589873 NJJ589864:NJJ589873 MZN589864:MZN589873 MPR589864:MPR589873 MFV589864:MFV589873 LVZ589864:LVZ589873 LMD589864:LMD589873 LCH589864:LCH589873 KSL589864:KSL589873 KIP589864:KIP589873 JYT589864:JYT589873 JOX589864:JOX589873 JFB589864:JFB589873 IVF589864:IVF589873 ILJ589864:ILJ589873 IBN589864:IBN589873 HRR589864:HRR589873 HHV589864:HHV589873 GXZ589864:GXZ589873 GOD589864:GOD589873 GEH589864:GEH589873 FUL589864:FUL589873 FKP589864:FKP589873 FAT589864:FAT589873 EQX589864:EQX589873 EHB589864:EHB589873 DXF589864:DXF589873 DNJ589864:DNJ589873 DDN589864:DDN589873 CTR589864:CTR589873 CJV589864:CJV589873 BZZ589864:BZZ589873 BQD589864:BQD589873 BGH589864:BGH589873 AWL589864:AWL589873 AMP589864:AMP589873 ACT589864:ACT589873 SX589864:SX589873 JB589864:JB589873 F589864:F589873 WVN524328:WVN524337 WLR524328:WLR524337 WBV524328:WBV524337 VRZ524328:VRZ524337 VID524328:VID524337 UYH524328:UYH524337 UOL524328:UOL524337 UEP524328:UEP524337 TUT524328:TUT524337 TKX524328:TKX524337 TBB524328:TBB524337 SRF524328:SRF524337 SHJ524328:SHJ524337 RXN524328:RXN524337 RNR524328:RNR524337 RDV524328:RDV524337 QTZ524328:QTZ524337 QKD524328:QKD524337 QAH524328:QAH524337 PQL524328:PQL524337 PGP524328:PGP524337 OWT524328:OWT524337 OMX524328:OMX524337 ODB524328:ODB524337 NTF524328:NTF524337 NJJ524328:NJJ524337 MZN524328:MZN524337 MPR524328:MPR524337 MFV524328:MFV524337 LVZ524328:LVZ524337 LMD524328:LMD524337 LCH524328:LCH524337 KSL524328:KSL524337 KIP524328:KIP524337 JYT524328:JYT524337 JOX524328:JOX524337 JFB524328:JFB524337 IVF524328:IVF524337 ILJ524328:ILJ524337 IBN524328:IBN524337 HRR524328:HRR524337 HHV524328:HHV524337 GXZ524328:GXZ524337 GOD524328:GOD524337 GEH524328:GEH524337 FUL524328:FUL524337 FKP524328:FKP524337 FAT524328:FAT524337 EQX524328:EQX524337 EHB524328:EHB524337 DXF524328:DXF524337 DNJ524328:DNJ524337 DDN524328:DDN524337 CTR524328:CTR524337 CJV524328:CJV524337 BZZ524328:BZZ524337 BQD524328:BQD524337 BGH524328:BGH524337 AWL524328:AWL524337 AMP524328:AMP524337 ACT524328:ACT524337 SX524328:SX524337 JB524328:JB524337 F524328:F524337 WVN458792:WVN458801 WLR458792:WLR458801 WBV458792:WBV458801 VRZ458792:VRZ458801 VID458792:VID458801 UYH458792:UYH458801 UOL458792:UOL458801 UEP458792:UEP458801 TUT458792:TUT458801 TKX458792:TKX458801 TBB458792:TBB458801 SRF458792:SRF458801 SHJ458792:SHJ458801 RXN458792:RXN458801 RNR458792:RNR458801 RDV458792:RDV458801 QTZ458792:QTZ458801 QKD458792:QKD458801 QAH458792:QAH458801 PQL458792:PQL458801 PGP458792:PGP458801 OWT458792:OWT458801 OMX458792:OMX458801 ODB458792:ODB458801 NTF458792:NTF458801 NJJ458792:NJJ458801 MZN458792:MZN458801 MPR458792:MPR458801 MFV458792:MFV458801 LVZ458792:LVZ458801 LMD458792:LMD458801 LCH458792:LCH458801 KSL458792:KSL458801 KIP458792:KIP458801 JYT458792:JYT458801 JOX458792:JOX458801 JFB458792:JFB458801 IVF458792:IVF458801 ILJ458792:ILJ458801 IBN458792:IBN458801 HRR458792:HRR458801 HHV458792:HHV458801 GXZ458792:GXZ458801 GOD458792:GOD458801 GEH458792:GEH458801 FUL458792:FUL458801 FKP458792:FKP458801 FAT458792:FAT458801 EQX458792:EQX458801 EHB458792:EHB458801 DXF458792:DXF458801 DNJ458792:DNJ458801 DDN458792:DDN458801 CTR458792:CTR458801 CJV458792:CJV458801 BZZ458792:BZZ458801 BQD458792:BQD458801 BGH458792:BGH458801 AWL458792:AWL458801 AMP458792:AMP458801 ACT458792:ACT458801 SX458792:SX458801 JB458792:JB458801 F458792:F458801 WVN393256:WVN393265 WLR393256:WLR393265 WBV393256:WBV393265 VRZ393256:VRZ393265 VID393256:VID393265 UYH393256:UYH393265 UOL393256:UOL393265 UEP393256:UEP393265 TUT393256:TUT393265 TKX393256:TKX393265 TBB393256:TBB393265 SRF393256:SRF393265 SHJ393256:SHJ393265 RXN393256:RXN393265 RNR393256:RNR393265 RDV393256:RDV393265 QTZ393256:QTZ393265 QKD393256:QKD393265 QAH393256:QAH393265 PQL393256:PQL393265 PGP393256:PGP393265 OWT393256:OWT393265 OMX393256:OMX393265 ODB393256:ODB393265 NTF393256:NTF393265 NJJ393256:NJJ393265 MZN393256:MZN393265 MPR393256:MPR393265 MFV393256:MFV393265 LVZ393256:LVZ393265 LMD393256:LMD393265 LCH393256:LCH393265 KSL393256:KSL393265 KIP393256:KIP393265 JYT393256:JYT393265 JOX393256:JOX393265 JFB393256:JFB393265 IVF393256:IVF393265 ILJ393256:ILJ393265 IBN393256:IBN393265 HRR393256:HRR393265 HHV393256:HHV393265 GXZ393256:GXZ393265 GOD393256:GOD393265 GEH393256:GEH393265 FUL393256:FUL393265 FKP393256:FKP393265 FAT393256:FAT393265 EQX393256:EQX393265 EHB393256:EHB393265 DXF393256:DXF393265 DNJ393256:DNJ393265 DDN393256:DDN393265 CTR393256:CTR393265 CJV393256:CJV393265 BZZ393256:BZZ393265 BQD393256:BQD393265 BGH393256:BGH393265 AWL393256:AWL393265 AMP393256:AMP393265 ACT393256:ACT393265 SX393256:SX393265 JB393256:JB393265 F393256:F393265 WVN327720:WVN327729 WLR327720:WLR327729 WBV327720:WBV327729 VRZ327720:VRZ327729 VID327720:VID327729 UYH327720:UYH327729 UOL327720:UOL327729 UEP327720:UEP327729 TUT327720:TUT327729 TKX327720:TKX327729 TBB327720:TBB327729 SRF327720:SRF327729 SHJ327720:SHJ327729 RXN327720:RXN327729 RNR327720:RNR327729 RDV327720:RDV327729 QTZ327720:QTZ327729 QKD327720:QKD327729 QAH327720:QAH327729 PQL327720:PQL327729 PGP327720:PGP327729 OWT327720:OWT327729 OMX327720:OMX327729 ODB327720:ODB327729 NTF327720:NTF327729 NJJ327720:NJJ327729 MZN327720:MZN327729 MPR327720:MPR327729 MFV327720:MFV327729 LVZ327720:LVZ327729 LMD327720:LMD327729 LCH327720:LCH327729 KSL327720:KSL327729 KIP327720:KIP327729 JYT327720:JYT327729 JOX327720:JOX327729 JFB327720:JFB327729 IVF327720:IVF327729 ILJ327720:ILJ327729 IBN327720:IBN327729 HRR327720:HRR327729 HHV327720:HHV327729 GXZ327720:GXZ327729 GOD327720:GOD327729 GEH327720:GEH327729 FUL327720:FUL327729 FKP327720:FKP327729 FAT327720:FAT327729 EQX327720:EQX327729 EHB327720:EHB327729 DXF327720:DXF327729 DNJ327720:DNJ327729 DDN327720:DDN327729 CTR327720:CTR327729 CJV327720:CJV327729 BZZ327720:BZZ327729 BQD327720:BQD327729 BGH327720:BGH327729 AWL327720:AWL327729 AMP327720:AMP327729 ACT327720:ACT327729 SX327720:SX327729 JB327720:JB327729 F327720:F327729 WVN262184:WVN262193 WLR262184:WLR262193 WBV262184:WBV262193 VRZ262184:VRZ262193 VID262184:VID262193 UYH262184:UYH262193 UOL262184:UOL262193 UEP262184:UEP262193 TUT262184:TUT262193 TKX262184:TKX262193 TBB262184:TBB262193 SRF262184:SRF262193 SHJ262184:SHJ262193 RXN262184:RXN262193 RNR262184:RNR262193 RDV262184:RDV262193 QTZ262184:QTZ262193 QKD262184:QKD262193 QAH262184:QAH262193 PQL262184:PQL262193 PGP262184:PGP262193 OWT262184:OWT262193 OMX262184:OMX262193 ODB262184:ODB262193 NTF262184:NTF262193 NJJ262184:NJJ262193 MZN262184:MZN262193 MPR262184:MPR262193 MFV262184:MFV262193 LVZ262184:LVZ262193 LMD262184:LMD262193 LCH262184:LCH262193 KSL262184:KSL262193 KIP262184:KIP262193 JYT262184:JYT262193 JOX262184:JOX262193 JFB262184:JFB262193 IVF262184:IVF262193 ILJ262184:ILJ262193 IBN262184:IBN262193 HRR262184:HRR262193 HHV262184:HHV262193 GXZ262184:GXZ262193 GOD262184:GOD262193 GEH262184:GEH262193 FUL262184:FUL262193 FKP262184:FKP262193 FAT262184:FAT262193 EQX262184:EQX262193 EHB262184:EHB262193 DXF262184:DXF262193 DNJ262184:DNJ262193 DDN262184:DDN262193 CTR262184:CTR262193 CJV262184:CJV262193 BZZ262184:BZZ262193 BQD262184:BQD262193 BGH262184:BGH262193 AWL262184:AWL262193 AMP262184:AMP262193 ACT262184:ACT262193 SX262184:SX262193 JB262184:JB262193 F262184:F262193 WVN196648:WVN196657 WLR196648:WLR196657 WBV196648:WBV196657 VRZ196648:VRZ196657 VID196648:VID196657 UYH196648:UYH196657 UOL196648:UOL196657 UEP196648:UEP196657 TUT196648:TUT196657 TKX196648:TKX196657 TBB196648:TBB196657 SRF196648:SRF196657 SHJ196648:SHJ196657 RXN196648:RXN196657 RNR196648:RNR196657 RDV196648:RDV196657 QTZ196648:QTZ196657 QKD196648:QKD196657 QAH196648:QAH196657 PQL196648:PQL196657 PGP196648:PGP196657 OWT196648:OWT196657 OMX196648:OMX196657 ODB196648:ODB196657 NTF196648:NTF196657 NJJ196648:NJJ196657 MZN196648:MZN196657 MPR196648:MPR196657 MFV196648:MFV196657 LVZ196648:LVZ196657 LMD196648:LMD196657 LCH196648:LCH196657 KSL196648:KSL196657 KIP196648:KIP196657 JYT196648:JYT196657 JOX196648:JOX196657 JFB196648:JFB196657 IVF196648:IVF196657 ILJ196648:ILJ196657 IBN196648:IBN196657 HRR196648:HRR196657 HHV196648:HHV196657 GXZ196648:GXZ196657 GOD196648:GOD196657 GEH196648:GEH196657 FUL196648:FUL196657 FKP196648:FKP196657 FAT196648:FAT196657 EQX196648:EQX196657 EHB196648:EHB196657 DXF196648:DXF196657 DNJ196648:DNJ196657 DDN196648:DDN196657 CTR196648:CTR196657 CJV196648:CJV196657 BZZ196648:BZZ196657 BQD196648:BQD196657 BGH196648:BGH196657 AWL196648:AWL196657 AMP196648:AMP196657 ACT196648:ACT196657 SX196648:SX196657 JB196648:JB196657 F196648:F196657 WVN131112:WVN131121 WLR131112:WLR131121 WBV131112:WBV131121 VRZ131112:VRZ131121 VID131112:VID131121 UYH131112:UYH131121 UOL131112:UOL131121 UEP131112:UEP131121 TUT131112:TUT131121 TKX131112:TKX131121 TBB131112:TBB131121 SRF131112:SRF131121 SHJ131112:SHJ131121 RXN131112:RXN131121 RNR131112:RNR131121 RDV131112:RDV131121 QTZ131112:QTZ131121 QKD131112:QKD131121 QAH131112:QAH131121 PQL131112:PQL131121 PGP131112:PGP131121 OWT131112:OWT131121 OMX131112:OMX131121 ODB131112:ODB131121 NTF131112:NTF131121 NJJ131112:NJJ131121 MZN131112:MZN131121 MPR131112:MPR131121 MFV131112:MFV131121 LVZ131112:LVZ131121 LMD131112:LMD131121 LCH131112:LCH131121 KSL131112:KSL131121 KIP131112:KIP131121 JYT131112:JYT131121 JOX131112:JOX131121 JFB131112:JFB131121 IVF131112:IVF131121 ILJ131112:ILJ131121 IBN131112:IBN131121 HRR131112:HRR131121 HHV131112:HHV131121 GXZ131112:GXZ131121 GOD131112:GOD131121 GEH131112:GEH131121 FUL131112:FUL131121 FKP131112:FKP131121 FAT131112:FAT131121 EQX131112:EQX131121 EHB131112:EHB131121 DXF131112:DXF131121 DNJ131112:DNJ131121 DDN131112:DDN131121 CTR131112:CTR131121 CJV131112:CJV131121 BZZ131112:BZZ131121 BQD131112:BQD131121 BGH131112:BGH131121 AWL131112:AWL131121 AMP131112:AMP131121 ACT131112:ACT131121 SX131112:SX131121 JB131112:JB131121 F131112:F131121 WVN65576:WVN65585 WLR65576:WLR65585 WBV65576:WBV65585 VRZ65576:VRZ65585 VID65576:VID65585 UYH65576:UYH65585 UOL65576:UOL65585 UEP65576:UEP65585 TUT65576:TUT65585 TKX65576:TKX65585 TBB65576:TBB65585 SRF65576:SRF65585 SHJ65576:SHJ65585 RXN65576:RXN65585 RNR65576:RNR65585 RDV65576:RDV65585 QTZ65576:QTZ65585 QKD65576:QKD65585 QAH65576:QAH65585 PQL65576:PQL65585 PGP65576:PGP65585 OWT65576:OWT65585 OMX65576:OMX65585 ODB65576:ODB65585 NTF65576:NTF65585 NJJ65576:NJJ65585 MZN65576:MZN65585 MPR65576:MPR65585 MFV65576:MFV65585 LVZ65576:LVZ65585 LMD65576:LMD65585 LCH65576:LCH65585 KSL65576:KSL65585 KIP65576:KIP65585 JYT65576:JYT65585 JOX65576:JOX65585 JFB65576:JFB65585 IVF65576:IVF65585 ILJ65576:ILJ65585 IBN65576:IBN65585 HRR65576:HRR65585 HHV65576:HHV65585 GXZ65576:GXZ65585 GOD65576:GOD65585 GEH65576:GEH65585 FUL65576:FUL65585 FKP65576:FKP65585 FAT65576:FAT65585 EQX65576:EQX65585 EHB65576:EHB65585 DXF65576:DXF65585 DNJ65576:DNJ65585 DDN65576:DDN65585 CTR65576:CTR65585 CJV65576:CJV65585 BZZ65576:BZZ65585 BQD65576:BQD65585 BGH65576:BGH65585 AWL65576:AWL65585 AMP65576:AMP65585 ACT65576:ACT65585 SX65576:SX65585 JB65576:JB65585 F65576:F65585 WVN40:WVN49 WLR40:WLR49 WBV40:WBV49 VRZ40:VRZ49 VID40:VID49 UYH40:UYH49 UOL40:UOL49 UEP40:UEP49 TUT40:TUT49 TKX40:TKX49 TBB40:TBB49 SRF40:SRF49 SHJ40:SHJ49 RXN40:RXN49 RNR40:RNR49 RDV40:RDV49 QTZ40:QTZ49 QKD40:QKD49 QAH40:QAH49 PQL40:PQL49 PGP40:PGP49 OWT40:OWT49 OMX40:OMX49 ODB40:ODB49 NTF40:NTF49 NJJ40:NJJ49 MZN40:MZN49 MPR40:MPR49 MFV40:MFV49 LVZ40:LVZ49 LMD40:LMD49 LCH40:LCH49 KSL40:KSL49 KIP40:KIP49 JYT40:JYT49 JOX40:JOX49 JFB40:JFB49 IVF40:IVF49 ILJ40:ILJ49 IBN40:IBN49 HRR40:HRR49 HHV40:HHV49 GXZ40:GXZ49 GOD40:GOD49 GEH40:GEH49 FUL40:FUL49 FKP40:FKP49 FAT40:FAT49 EQX40:EQX49 EHB40:EHB49 DXF40:DXF49 DNJ40:DNJ49 DDN40:DDN49 CTR40:CTR49 CJV40:CJV49 BZZ40:BZZ49 BQD40:BQD49 BGH40:BGH49 AWL40:AWL49 AMP40:AMP49 ACT40:ACT49 SX40:SX49 JB40:JB49">
      <formula1>EffortType</formula1>
    </dataValidation>
    <dataValidation type="list" allowBlank="1" showInputMessage="1" showErrorMessage="1" sqref="E28 WVM983068 WLQ983068 WBU983068 VRY983068 VIC983068 UYG983068 UOK983068 UEO983068 TUS983068 TKW983068 TBA983068 SRE983068 SHI983068 RXM983068 RNQ983068 RDU983068 QTY983068 QKC983068 QAG983068 PQK983068 PGO983068 OWS983068 OMW983068 ODA983068 NTE983068 NJI983068 MZM983068 MPQ983068 MFU983068 LVY983068 LMC983068 LCG983068 KSK983068 KIO983068 JYS983068 JOW983068 JFA983068 IVE983068 ILI983068 IBM983068 HRQ983068 HHU983068 GXY983068 GOC983068 GEG983068 FUK983068 FKO983068 FAS983068 EQW983068 EHA983068 DXE983068 DNI983068 DDM983068 CTQ983068 CJU983068 BZY983068 BQC983068 BGG983068 AWK983068 AMO983068 ACS983068 SW983068 JA983068 E983068 WVM917532 WLQ917532 WBU917532 VRY917532 VIC917532 UYG917532 UOK917532 UEO917532 TUS917532 TKW917532 TBA917532 SRE917532 SHI917532 RXM917532 RNQ917532 RDU917532 QTY917532 QKC917532 QAG917532 PQK917532 PGO917532 OWS917532 OMW917532 ODA917532 NTE917532 NJI917532 MZM917532 MPQ917532 MFU917532 LVY917532 LMC917532 LCG917532 KSK917532 KIO917532 JYS917532 JOW917532 JFA917532 IVE917532 ILI917532 IBM917532 HRQ917532 HHU917532 GXY917532 GOC917532 GEG917532 FUK917532 FKO917532 FAS917532 EQW917532 EHA917532 DXE917532 DNI917532 DDM917532 CTQ917532 CJU917532 BZY917532 BQC917532 BGG917532 AWK917532 AMO917532 ACS917532 SW917532 JA917532 E917532 WVM851996 WLQ851996 WBU851996 VRY851996 VIC851996 UYG851996 UOK851996 UEO851996 TUS851996 TKW851996 TBA851996 SRE851996 SHI851996 RXM851996 RNQ851996 RDU851996 QTY851996 QKC851996 QAG851996 PQK851996 PGO851996 OWS851996 OMW851996 ODA851996 NTE851996 NJI851996 MZM851996 MPQ851996 MFU851996 LVY851996 LMC851996 LCG851996 KSK851996 KIO851996 JYS851996 JOW851996 JFA851996 IVE851996 ILI851996 IBM851996 HRQ851996 HHU851996 GXY851996 GOC851996 GEG851996 FUK851996 FKO851996 FAS851996 EQW851996 EHA851996 DXE851996 DNI851996 DDM851996 CTQ851996 CJU851996 BZY851996 BQC851996 BGG851996 AWK851996 AMO851996 ACS851996 SW851996 JA851996 E851996 WVM786460 WLQ786460 WBU786460 VRY786460 VIC786460 UYG786460 UOK786460 UEO786460 TUS786460 TKW786460 TBA786460 SRE786460 SHI786460 RXM786460 RNQ786460 RDU786460 QTY786460 QKC786460 QAG786460 PQK786460 PGO786460 OWS786460 OMW786460 ODA786460 NTE786460 NJI786460 MZM786460 MPQ786460 MFU786460 LVY786460 LMC786460 LCG786460 KSK786460 KIO786460 JYS786460 JOW786460 JFA786460 IVE786460 ILI786460 IBM786460 HRQ786460 HHU786460 GXY786460 GOC786460 GEG786460 FUK786460 FKO786460 FAS786460 EQW786460 EHA786460 DXE786460 DNI786460 DDM786460 CTQ786460 CJU786460 BZY786460 BQC786460 BGG786460 AWK786460 AMO786460 ACS786460 SW786460 JA786460 E786460 WVM720924 WLQ720924 WBU720924 VRY720924 VIC720924 UYG720924 UOK720924 UEO720924 TUS720924 TKW720924 TBA720924 SRE720924 SHI720924 RXM720924 RNQ720924 RDU720924 QTY720924 QKC720924 QAG720924 PQK720924 PGO720924 OWS720924 OMW720924 ODA720924 NTE720924 NJI720924 MZM720924 MPQ720924 MFU720924 LVY720924 LMC720924 LCG720924 KSK720924 KIO720924 JYS720924 JOW720924 JFA720924 IVE720924 ILI720924 IBM720924 HRQ720924 HHU720924 GXY720924 GOC720924 GEG720924 FUK720924 FKO720924 FAS720924 EQW720924 EHA720924 DXE720924 DNI720924 DDM720924 CTQ720924 CJU720924 BZY720924 BQC720924 BGG720924 AWK720924 AMO720924 ACS720924 SW720924 JA720924 E720924 WVM655388 WLQ655388 WBU655388 VRY655388 VIC655388 UYG655388 UOK655388 UEO655388 TUS655388 TKW655388 TBA655388 SRE655388 SHI655388 RXM655388 RNQ655388 RDU655388 QTY655388 QKC655388 QAG655388 PQK655388 PGO655388 OWS655388 OMW655388 ODA655388 NTE655388 NJI655388 MZM655388 MPQ655388 MFU655388 LVY655388 LMC655388 LCG655388 KSK655388 KIO655388 JYS655388 JOW655388 JFA655388 IVE655388 ILI655388 IBM655388 HRQ655388 HHU655388 GXY655388 GOC655388 GEG655388 FUK655388 FKO655388 FAS655388 EQW655388 EHA655388 DXE655388 DNI655388 DDM655388 CTQ655388 CJU655388 BZY655388 BQC655388 BGG655388 AWK655388 AMO655388 ACS655388 SW655388 JA655388 E655388 WVM589852 WLQ589852 WBU589852 VRY589852 VIC589852 UYG589852 UOK589852 UEO589852 TUS589852 TKW589852 TBA589852 SRE589852 SHI589852 RXM589852 RNQ589852 RDU589852 QTY589852 QKC589852 QAG589852 PQK589852 PGO589852 OWS589852 OMW589852 ODA589852 NTE589852 NJI589852 MZM589852 MPQ589852 MFU589852 LVY589852 LMC589852 LCG589852 KSK589852 KIO589852 JYS589852 JOW589852 JFA589852 IVE589852 ILI589852 IBM589852 HRQ589852 HHU589852 GXY589852 GOC589852 GEG589852 FUK589852 FKO589852 FAS589852 EQW589852 EHA589852 DXE589852 DNI589852 DDM589852 CTQ589852 CJU589852 BZY589852 BQC589852 BGG589852 AWK589852 AMO589852 ACS589852 SW589852 JA589852 E589852 WVM524316 WLQ524316 WBU524316 VRY524316 VIC524316 UYG524316 UOK524316 UEO524316 TUS524316 TKW524316 TBA524316 SRE524316 SHI524316 RXM524316 RNQ524316 RDU524316 QTY524316 QKC524316 QAG524316 PQK524316 PGO524316 OWS524316 OMW524316 ODA524316 NTE524316 NJI524316 MZM524316 MPQ524316 MFU524316 LVY524316 LMC524316 LCG524316 KSK524316 KIO524316 JYS524316 JOW524316 JFA524316 IVE524316 ILI524316 IBM524316 HRQ524316 HHU524316 GXY524316 GOC524316 GEG524316 FUK524316 FKO524316 FAS524316 EQW524316 EHA524316 DXE524316 DNI524316 DDM524316 CTQ524316 CJU524316 BZY524316 BQC524316 BGG524316 AWK524316 AMO524316 ACS524316 SW524316 JA524316 E524316 WVM458780 WLQ458780 WBU458780 VRY458780 VIC458780 UYG458780 UOK458780 UEO458780 TUS458780 TKW458780 TBA458780 SRE458780 SHI458780 RXM458780 RNQ458780 RDU458780 QTY458780 QKC458780 QAG458780 PQK458780 PGO458780 OWS458780 OMW458780 ODA458780 NTE458780 NJI458780 MZM458780 MPQ458780 MFU458780 LVY458780 LMC458780 LCG458780 KSK458780 KIO458780 JYS458780 JOW458780 JFA458780 IVE458780 ILI458780 IBM458780 HRQ458780 HHU458780 GXY458780 GOC458780 GEG458780 FUK458780 FKO458780 FAS458780 EQW458780 EHA458780 DXE458780 DNI458780 DDM458780 CTQ458780 CJU458780 BZY458780 BQC458780 BGG458780 AWK458780 AMO458780 ACS458780 SW458780 JA458780 E458780 WVM393244 WLQ393244 WBU393244 VRY393244 VIC393244 UYG393244 UOK393244 UEO393244 TUS393244 TKW393244 TBA393244 SRE393244 SHI393244 RXM393244 RNQ393244 RDU393244 QTY393244 QKC393244 QAG393244 PQK393244 PGO393244 OWS393244 OMW393244 ODA393244 NTE393244 NJI393244 MZM393244 MPQ393244 MFU393244 LVY393244 LMC393244 LCG393244 KSK393244 KIO393244 JYS393244 JOW393244 JFA393244 IVE393244 ILI393244 IBM393244 HRQ393244 HHU393244 GXY393244 GOC393244 GEG393244 FUK393244 FKO393244 FAS393244 EQW393244 EHA393244 DXE393244 DNI393244 DDM393244 CTQ393244 CJU393244 BZY393244 BQC393244 BGG393244 AWK393244 AMO393244 ACS393244 SW393244 JA393244 E393244 WVM327708 WLQ327708 WBU327708 VRY327708 VIC327708 UYG327708 UOK327708 UEO327708 TUS327708 TKW327708 TBA327708 SRE327708 SHI327708 RXM327708 RNQ327708 RDU327708 QTY327708 QKC327708 QAG327708 PQK327708 PGO327708 OWS327708 OMW327708 ODA327708 NTE327708 NJI327708 MZM327708 MPQ327708 MFU327708 LVY327708 LMC327708 LCG327708 KSK327708 KIO327708 JYS327708 JOW327708 JFA327708 IVE327708 ILI327708 IBM327708 HRQ327708 HHU327708 GXY327708 GOC327708 GEG327708 FUK327708 FKO327708 FAS327708 EQW327708 EHA327708 DXE327708 DNI327708 DDM327708 CTQ327708 CJU327708 BZY327708 BQC327708 BGG327708 AWK327708 AMO327708 ACS327708 SW327708 JA327708 E327708 WVM262172 WLQ262172 WBU262172 VRY262172 VIC262172 UYG262172 UOK262172 UEO262172 TUS262172 TKW262172 TBA262172 SRE262172 SHI262172 RXM262172 RNQ262172 RDU262172 QTY262172 QKC262172 QAG262172 PQK262172 PGO262172 OWS262172 OMW262172 ODA262172 NTE262172 NJI262172 MZM262172 MPQ262172 MFU262172 LVY262172 LMC262172 LCG262172 KSK262172 KIO262172 JYS262172 JOW262172 JFA262172 IVE262172 ILI262172 IBM262172 HRQ262172 HHU262172 GXY262172 GOC262172 GEG262172 FUK262172 FKO262172 FAS262172 EQW262172 EHA262172 DXE262172 DNI262172 DDM262172 CTQ262172 CJU262172 BZY262172 BQC262172 BGG262172 AWK262172 AMO262172 ACS262172 SW262172 JA262172 E262172 WVM196636 WLQ196636 WBU196636 VRY196636 VIC196636 UYG196636 UOK196636 UEO196636 TUS196636 TKW196636 TBA196636 SRE196636 SHI196636 RXM196636 RNQ196636 RDU196636 QTY196636 QKC196636 QAG196636 PQK196636 PGO196636 OWS196636 OMW196636 ODA196636 NTE196636 NJI196636 MZM196636 MPQ196636 MFU196636 LVY196636 LMC196636 LCG196636 KSK196636 KIO196636 JYS196636 JOW196636 JFA196636 IVE196636 ILI196636 IBM196636 HRQ196636 HHU196636 GXY196636 GOC196636 GEG196636 FUK196636 FKO196636 FAS196636 EQW196636 EHA196636 DXE196636 DNI196636 DDM196636 CTQ196636 CJU196636 BZY196636 BQC196636 BGG196636 AWK196636 AMO196636 ACS196636 SW196636 JA196636 E196636 WVM131100 WLQ131100 WBU131100 VRY131100 VIC131100 UYG131100 UOK131100 UEO131100 TUS131100 TKW131100 TBA131100 SRE131100 SHI131100 RXM131100 RNQ131100 RDU131100 QTY131100 QKC131100 QAG131100 PQK131100 PGO131100 OWS131100 OMW131100 ODA131100 NTE131100 NJI131100 MZM131100 MPQ131100 MFU131100 LVY131100 LMC131100 LCG131100 KSK131100 KIO131100 JYS131100 JOW131100 JFA131100 IVE131100 ILI131100 IBM131100 HRQ131100 HHU131100 GXY131100 GOC131100 GEG131100 FUK131100 FKO131100 FAS131100 EQW131100 EHA131100 DXE131100 DNI131100 DDM131100 CTQ131100 CJU131100 BZY131100 BQC131100 BGG131100 AWK131100 AMO131100 ACS131100 SW131100 JA131100 E131100 WVM65564 WLQ65564 WBU65564 VRY65564 VIC65564 UYG65564 UOK65564 UEO65564 TUS65564 TKW65564 TBA65564 SRE65564 SHI65564 RXM65564 RNQ65564 RDU65564 QTY65564 QKC65564 QAG65564 PQK65564 PGO65564 OWS65564 OMW65564 ODA65564 NTE65564 NJI65564 MZM65564 MPQ65564 MFU65564 LVY65564 LMC65564 LCG65564 KSK65564 KIO65564 JYS65564 JOW65564 JFA65564 IVE65564 ILI65564 IBM65564 HRQ65564 HHU65564 GXY65564 GOC65564 GEG65564 FUK65564 FKO65564 FAS65564 EQW65564 EHA65564 DXE65564 DNI65564 DDM65564 CTQ65564 CJU65564 BZY65564 BQC65564 BGG65564 AWK65564 AMO65564 ACS65564 SW65564 JA65564 E65564 WVM28 WLQ28 WBU28 VRY28 VIC28 UYG28 UOK28 UEO28 TUS28 TKW28 TBA28 SRE28 SHI28 RXM28 RNQ28 RDU28 QTY28 QKC28 QAG28 PQK28 PGO28 OWS28 OMW28 ODA28 NTE28 NJI28 MZM28 MPQ28 MFU28 LVY28 LMC28 LCG28 KSK28 KIO28 JYS28 JOW28 JFA28 IVE28 ILI28 IBM28 HRQ28 HHU28 GXY28 GOC28 GEG28 FUK28 FKO28 FAS28 EQW28 EHA28 DXE28 DNI28 DDM28 CTQ28 CJU28 BZY28 BQC28 BGG28 AWK28 AMO28 ACS28 SW28 JA28">
      <formula1>#REF!</formula1>
    </dataValidation>
    <dataValidation type="list" allowBlank="1" showInputMessage="1" showErrorMessage="1" sqref="E35:E36 WVM983070:WVM983072 WLQ983070:WLQ983072 WBU983070:WBU983072 VRY983070:VRY983072 VIC983070:VIC983072 UYG983070:UYG983072 UOK983070:UOK983072 UEO983070:UEO983072 TUS983070:TUS983072 TKW983070:TKW983072 TBA983070:TBA983072 SRE983070:SRE983072 SHI983070:SHI983072 RXM983070:RXM983072 RNQ983070:RNQ983072 RDU983070:RDU983072 QTY983070:QTY983072 QKC983070:QKC983072 QAG983070:QAG983072 PQK983070:PQK983072 PGO983070:PGO983072 OWS983070:OWS983072 OMW983070:OMW983072 ODA983070:ODA983072 NTE983070:NTE983072 NJI983070:NJI983072 MZM983070:MZM983072 MPQ983070:MPQ983072 MFU983070:MFU983072 LVY983070:LVY983072 LMC983070:LMC983072 LCG983070:LCG983072 KSK983070:KSK983072 KIO983070:KIO983072 JYS983070:JYS983072 JOW983070:JOW983072 JFA983070:JFA983072 IVE983070:IVE983072 ILI983070:ILI983072 IBM983070:IBM983072 HRQ983070:HRQ983072 HHU983070:HHU983072 GXY983070:GXY983072 GOC983070:GOC983072 GEG983070:GEG983072 FUK983070:FUK983072 FKO983070:FKO983072 FAS983070:FAS983072 EQW983070:EQW983072 EHA983070:EHA983072 DXE983070:DXE983072 DNI983070:DNI983072 DDM983070:DDM983072 CTQ983070:CTQ983072 CJU983070:CJU983072 BZY983070:BZY983072 BQC983070:BQC983072 BGG983070:BGG983072 AWK983070:AWK983072 AMO983070:AMO983072 ACS983070:ACS983072 SW983070:SW983072 JA983070:JA983072 E983070:E983072 WVM917534:WVM917536 WLQ917534:WLQ917536 WBU917534:WBU917536 VRY917534:VRY917536 VIC917534:VIC917536 UYG917534:UYG917536 UOK917534:UOK917536 UEO917534:UEO917536 TUS917534:TUS917536 TKW917534:TKW917536 TBA917534:TBA917536 SRE917534:SRE917536 SHI917534:SHI917536 RXM917534:RXM917536 RNQ917534:RNQ917536 RDU917534:RDU917536 QTY917534:QTY917536 QKC917534:QKC917536 QAG917534:QAG917536 PQK917534:PQK917536 PGO917534:PGO917536 OWS917534:OWS917536 OMW917534:OMW917536 ODA917534:ODA917536 NTE917534:NTE917536 NJI917534:NJI917536 MZM917534:MZM917536 MPQ917534:MPQ917536 MFU917534:MFU917536 LVY917534:LVY917536 LMC917534:LMC917536 LCG917534:LCG917536 KSK917534:KSK917536 KIO917534:KIO917536 JYS917534:JYS917536 JOW917534:JOW917536 JFA917534:JFA917536 IVE917534:IVE917536 ILI917534:ILI917536 IBM917534:IBM917536 HRQ917534:HRQ917536 HHU917534:HHU917536 GXY917534:GXY917536 GOC917534:GOC917536 GEG917534:GEG917536 FUK917534:FUK917536 FKO917534:FKO917536 FAS917534:FAS917536 EQW917534:EQW917536 EHA917534:EHA917536 DXE917534:DXE917536 DNI917534:DNI917536 DDM917534:DDM917536 CTQ917534:CTQ917536 CJU917534:CJU917536 BZY917534:BZY917536 BQC917534:BQC917536 BGG917534:BGG917536 AWK917534:AWK917536 AMO917534:AMO917536 ACS917534:ACS917536 SW917534:SW917536 JA917534:JA917536 E917534:E917536 WVM851998:WVM852000 WLQ851998:WLQ852000 WBU851998:WBU852000 VRY851998:VRY852000 VIC851998:VIC852000 UYG851998:UYG852000 UOK851998:UOK852000 UEO851998:UEO852000 TUS851998:TUS852000 TKW851998:TKW852000 TBA851998:TBA852000 SRE851998:SRE852000 SHI851998:SHI852000 RXM851998:RXM852000 RNQ851998:RNQ852000 RDU851998:RDU852000 QTY851998:QTY852000 QKC851998:QKC852000 QAG851998:QAG852000 PQK851998:PQK852000 PGO851998:PGO852000 OWS851998:OWS852000 OMW851998:OMW852000 ODA851998:ODA852000 NTE851998:NTE852000 NJI851998:NJI852000 MZM851998:MZM852000 MPQ851998:MPQ852000 MFU851998:MFU852000 LVY851998:LVY852000 LMC851998:LMC852000 LCG851998:LCG852000 KSK851998:KSK852000 KIO851998:KIO852000 JYS851998:JYS852000 JOW851998:JOW852000 JFA851998:JFA852000 IVE851998:IVE852000 ILI851998:ILI852000 IBM851998:IBM852000 HRQ851998:HRQ852000 HHU851998:HHU852000 GXY851998:GXY852000 GOC851998:GOC852000 GEG851998:GEG852000 FUK851998:FUK852000 FKO851998:FKO852000 FAS851998:FAS852000 EQW851998:EQW852000 EHA851998:EHA852000 DXE851998:DXE852000 DNI851998:DNI852000 DDM851998:DDM852000 CTQ851998:CTQ852000 CJU851998:CJU852000 BZY851998:BZY852000 BQC851998:BQC852000 BGG851998:BGG852000 AWK851998:AWK852000 AMO851998:AMO852000 ACS851998:ACS852000 SW851998:SW852000 JA851998:JA852000 E851998:E852000 WVM786462:WVM786464 WLQ786462:WLQ786464 WBU786462:WBU786464 VRY786462:VRY786464 VIC786462:VIC786464 UYG786462:UYG786464 UOK786462:UOK786464 UEO786462:UEO786464 TUS786462:TUS786464 TKW786462:TKW786464 TBA786462:TBA786464 SRE786462:SRE786464 SHI786462:SHI786464 RXM786462:RXM786464 RNQ786462:RNQ786464 RDU786462:RDU786464 QTY786462:QTY786464 QKC786462:QKC786464 QAG786462:QAG786464 PQK786462:PQK786464 PGO786462:PGO786464 OWS786462:OWS786464 OMW786462:OMW786464 ODA786462:ODA786464 NTE786462:NTE786464 NJI786462:NJI786464 MZM786462:MZM786464 MPQ786462:MPQ786464 MFU786462:MFU786464 LVY786462:LVY786464 LMC786462:LMC786464 LCG786462:LCG786464 KSK786462:KSK786464 KIO786462:KIO786464 JYS786462:JYS786464 JOW786462:JOW786464 JFA786462:JFA786464 IVE786462:IVE786464 ILI786462:ILI786464 IBM786462:IBM786464 HRQ786462:HRQ786464 HHU786462:HHU786464 GXY786462:GXY786464 GOC786462:GOC786464 GEG786462:GEG786464 FUK786462:FUK786464 FKO786462:FKO786464 FAS786462:FAS786464 EQW786462:EQW786464 EHA786462:EHA786464 DXE786462:DXE786464 DNI786462:DNI786464 DDM786462:DDM786464 CTQ786462:CTQ786464 CJU786462:CJU786464 BZY786462:BZY786464 BQC786462:BQC786464 BGG786462:BGG786464 AWK786462:AWK786464 AMO786462:AMO786464 ACS786462:ACS786464 SW786462:SW786464 JA786462:JA786464 E786462:E786464 WVM720926:WVM720928 WLQ720926:WLQ720928 WBU720926:WBU720928 VRY720926:VRY720928 VIC720926:VIC720928 UYG720926:UYG720928 UOK720926:UOK720928 UEO720926:UEO720928 TUS720926:TUS720928 TKW720926:TKW720928 TBA720926:TBA720928 SRE720926:SRE720928 SHI720926:SHI720928 RXM720926:RXM720928 RNQ720926:RNQ720928 RDU720926:RDU720928 QTY720926:QTY720928 QKC720926:QKC720928 QAG720926:QAG720928 PQK720926:PQK720928 PGO720926:PGO720928 OWS720926:OWS720928 OMW720926:OMW720928 ODA720926:ODA720928 NTE720926:NTE720928 NJI720926:NJI720928 MZM720926:MZM720928 MPQ720926:MPQ720928 MFU720926:MFU720928 LVY720926:LVY720928 LMC720926:LMC720928 LCG720926:LCG720928 KSK720926:KSK720928 KIO720926:KIO720928 JYS720926:JYS720928 JOW720926:JOW720928 JFA720926:JFA720928 IVE720926:IVE720928 ILI720926:ILI720928 IBM720926:IBM720928 HRQ720926:HRQ720928 HHU720926:HHU720928 GXY720926:GXY720928 GOC720926:GOC720928 GEG720926:GEG720928 FUK720926:FUK720928 FKO720926:FKO720928 FAS720926:FAS720928 EQW720926:EQW720928 EHA720926:EHA720928 DXE720926:DXE720928 DNI720926:DNI720928 DDM720926:DDM720928 CTQ720926:CTQ720928 CJU720926:CJU720928 BZY720926:BZY720928 BQC720926:BQC720928 BGG720926:BGG720928 AWK720926:AWK720928 AMO720926:AMO720928 ACS720926:ACS720928 SW720926:SW720928 JA720926:JA720928 E720926:E720928 WVM655390:WVM655392 WLQ655390:WLQ655392 WBU655390:WBU655392 VRY655390:VRY655392 VIC655390:VIC655392 UYG655390:UYG655392 UOK655390:UOK655392 UEO655390:UEO655392 TUS655390:TUS655392 TKW655390:TKW655392 TBA655390:TBA655392 SRE655390:SRE655392 SHI655390:SHI655392 RXM655390:RXM655392 RNQ655390:RNQ655392 RDU655390:RDU655392 QTY655390:QTY655392 QKC655390:QKC655392 QAG655390:QAG655392 PQK655390:PQK655392 PGO655390:PGO655392 OWS655390:OWS655392 OMW655390:OMW655392 ODA655390:ODA655392 NTE655390:NTE655392 NJI655390:NJI655392 MZM655390:MZM655392 MPQ655390:MPQ655392 MFU655390:MFU655392 LVY655390:LVY655392 LMC655390:LMC655392 LCG655390:LCG655392 KSK655390:KSK655392 KIO655390:KIO655392 JYS655390:JYS655392 JOW655390:JOW655392 JFA655390:JFA655392 IVE655390:IVE655392 ILI655390:ILI655392 IBM655390:IBM655392 HRQ655390:HRQ655392 HHU655390:HHU655392 GXY655390:GXY655392 GOC655390:GOC655392 GEG655390:GEG655392 FUK655390:FUK655392 FKO655390:FKO655392 FAS655390:FAS655392 EQW655390:EQW655392 EHA655390:EHA655392 DXE655390:DXE655392 DNI655390:DNI655392 DDM655390:DDM655392 CTQ655390:CTQ655392 CJU655390:CJU655392 BZY655390:BZY655392 BQC655390:BQC655392 BGG655390:BGG655392 AWK655390:AWK655392 AMO655390:AMO655392 ACS655390:ACS655392 SW655390:SW655392 JA655390:JA655392 E655390:E655392 WVM589854:WVM589856 WLQ589854:WLQ589856 WBU589854:WBU589856 VRY589854:VRY589856 VIC589854:VIC589856 UYG589854:UYG589856 UOK589854:UOK589856 UEO589854:UEO589856 TUS589854:TUS589856 TKW589854:TKW589856 TBA589854:TBA589856 SRE589854:SRE589856 SHI589854:SHI589856 RXM589854:RXM589856 RNQ589854:RNQ589856 RDU589854:RDU589856 QTY589854:QTY589856 QKC589854:QKC589856 QAG589854:QAG589856 PQK589854:PQK589856 PGO589854:PGO589856 OWS589854:OWS589856 OMW589854:OMW589856 ODA589854:ODA589856 NTE589854:NTE589856 NJI589854:NJI589856 MZM589854:MZM589856 MPQ589854:MPQ589856 MFU589854:MFU589856 LVY589854:LVY589856 LMC589854:LMC589856 LCG589854:LCG589856 KSK589854:KSK589856 KIO589854:KIO589856 JYS589854:JYS589856 JOW589854:JOW589856 JFA589854:JFA589856 IVE589854:IVE589856 ILI589854:ILI589856 IBM589854:IBM589856 HRQ589854:HRQ589856 HHU589854:HHU589856 GXY589854:GXY589856 GOC589854:GOC589856 GEG589854:GEG589856 FUK589854:FUK589856 FKO589854:FKO589856 FAS589854:FAS589856 EQW589854:EQW589856 EHA589854:EHA589856 DXE589854:DXE589856 DNI589854:DNI589856 DDM589854:DDM589856 CTQ589854:CTQ589856 CJU589854:CJU589856 BZY589854:BZY589856 BQC589854:BQC589856 BGG589854:BGG589856 AWK589854:AWK589856 AMO589854:AMO589856 ACS589854:ACS589856 SW589854:SW589856 JA589854:JA589856 E589854:E589856 WVM524318:WVM524320 WLQ524318:WLQ524320 WBU524318:WBU524320 VRY524318:VRY524320 VIC524318:VIC524320 UYG524318:UYG524320 UOK524318:UOK524320 UEO524318:UEO524320 TUS524318:TUS524320 TKW524318:TKW524320 TBA524318:TBA524320 SRE524318:SRE524320 SHI524318:SHI524320 RXM524318:RXM524320 RNQ524318:RNQ524320 RDU524318:RDU524320 QTY524318:QTY524320 QKC524318:QKC524320 QAG524318:QAG524320 PQK524318:PQK524320 PGO524318:PGO524320 OWS524318:OWS524320 OMW524318:OMW524320 ODA524318:ODA524320 NTE524318:NTE524320 NJI524318:NJI524320 MZM524318:MZM524320 MPQ524318:MPQ524320 MFU524318:MFU524320 LVY524318:LVY524320 LMC524318:LMC524320 LCG524318:LCG524320 KSK524318:KSK524320 KIO524318:KIO524320 JYS524318:JYS524320 JOW524318:JOW524320 JFA524318:JFA524320 IVE524318:IVE524320 ILI524318:ILI524320 IBM524318:IBM524320 HRQ524318:HRQ524320 HHU524318:HHU524320 GXY524318:GXY524320 GOC524318:GOC524320 GEG524318:GEG524320 FUK524318:FUK524320 FKO524318:FKO524320 FAS524318:FAS524320 EQW524318:EQW524320 EHA524318:EHA524320 DXE524318:DXE524320 DNI524318:DNI524320 DDM524318:DDM524320 CTQ524318:CTQ524320 CJU524318:CJU524320 BZY524318:BZY524320 BQC524318:BQC524320 BGG524318:BGG524320 AWK524318:AWK524320 AMO524318:AMO524320 ACS524318:ACS524320 SW524318:SW524320 JA524318:JA524320 E524318:E524320 WVM458782:WVM458784 WLQ458782:WLQ458784 WBU458782:WBU458784 VRY458782:VRY458784 VIC458782:VIC458784 UYG458782:UYG458784 UOK458782:UOK458784 UEO458782:UEO458784 TUS458782:TUS458784 TKW458782:TKW458784 TBA458782:TBA458784 SRE458782:SRE458784 SHI458782:SHI458784 RXM458782:RXM458784 RNQ458782:RNQ458784 RDU458782:RDU458784 QTY458782:QTY458784 QKC458782:QKC458784 QAG458782:QAG458784 PQK458782:PQK458784 PGO458782:PGO458784 OWS458782:OWS458784 OMW458782:OMW458784 ODA458782:ODA458784 NTE458782:NTE458784 NJI458782:NJI458784 MZM458782:MZM458784 MPQ458782:MPQ458784 MFU458782:MFU458784 LVY458782:LVY458784 LMC458782:LMC458784 LCG458782:LCG458784 KSK458782:KSK458784 KIO458782:KIO458784 JYS458782:JYS458784 JOW458782:JOW458784 JFA458782:JFA458784 IVE458782:IVE458784 ILI458782:ILI458784 IBM458782:IBM458784 HRQ458782:HRQ458784 HHU458782:HHU458784 GXY458782:GXY458784 GOC458782:GOC458784 GEG458782:GEG458784 FUK458782:FUK458784 FKO458782:FKO458784 FAS458782:FAS458784 EQW458782:EQW458784 EHA458782:EHA458784 DXE458782:DXE458784 DNI458782:DNI458784 DDM458782:DDM458784 CTQ458782:CTQ458784 CJU458782:CJU458784 BZY458782:BZY458784 BQC458782:BQC458784 BGG458782:BGG458784 AWK458782:AWK458784 AMO458782:AMO458784 ACS458782:ACS458784 SW458782:SW458784 JA458782:JA458784 E458782:E458784 WVM393246:WVM393248 WLQ393246:WLQ393248 WBU393246:WBU393248 VRY393246:VRY393248 VIC393246:VIC393248 UYG393246:UYG393248 UOK393246:UOK393248 UEO393246:UEO393248 TUS393246:TUS393248 TKW393246:TKW393248 TBA393246:TBA393248 SRE393246:SRE393248 SHI393246:SHI393248 RXM393246:RXM393248 RNQ393246:RNQ393248 RDU393246:RDU393248 QTY393246:QTY393248 QKC393246:QKC393248 QAG393246:QAG393248 PQK393246:PQK393248 PGO393246:PGO393248 OWS393246:OWS393248 OMW393246:OMW393248 ODA393246:ODA393248 NTE393246:NTE393248 NJI393246:NJI393248 MZM393246:MZM393248 MPQ393246:MPQ393248 MFU393246:MFU393248 LVY393246:LVY393248 LMC393246:LMC393248 LCG393246:LCG393248 KSK393246:KSK393248 KIO393246:KIO393248 JYS393246:JYS393248 JOW393246:JOW393248 JFA393246:JFA393248 IVE393246:IVE393248 ILI393246:ILI393248 IBM393246:IBM393248 HRQ393246:HRQ393248 HHU393246:HHU393248 GXY393246:GXY393248 GOC393246:GOC393248 GEG393246:GEG393248 FUK393246:FUK393248 FKO393246:FKO393248 FAS393246:FAS393248 EQW393246:EQW393248 EHA393246:EHA393248 DXE393246:DXE393248 DNI393246:DNI393248 DDM393246:DDM393248 CTQ393246:CTQ393248 CJU393246:CJU393248 BZY393246:BZY393248 BQC393246:BQC393248 BGG393246:BGG393248 AWK393246:AWK393248 AMO393246:AMO393248 ACS393246:ACS393248 SW393246:SW393248 JA393246:JA393248 E393246:E393248 WVM327710:WVM327712 WLQ327710:WLQ327712 WBU327710:WBU327712 VRY327710:VRY327712 VIC327710:VIC327712 UYG327710:UYG327712 UOK327710:UOK327712 UEO327710:UEO327712 TUS327710:TUS327712 TKW327710:TKW327712 TBA327710:TBA327712 SRE327710:SRE327712 SHI327710:SHI327712 RXM327710:RXM327712 RNQ327710:RNQ327712 RDU327710:RDU327712 QTY327710:QTY327712 QKC327710:QKC327712 QAG327710:QAG327712 PQK327710:PQK327712 PGO327710:PGO327712 OWS327710:OWS327712 OMW327710:OMW327712 ODA327710:ODA327712 NTE327710:NTE327712 NJI327710:NJI327712 MZM327710:MZM327712 MPQ327710:MPQ327712 MFU327710:MFU327712 LVY327710:LVY327712 LMC327710:LMC327712 LCG327710:LCG327712 KSK327710:KSK327712 KIO327710:KIO327712 JYS327710:JYS327712 JOW327710:JOW327712 JFA327710:JFA327712 IVE327710:IVE327712 ILI327710:ILI327712 IBM327710:IBM327712 HRQ327710:HRQ327712 HHU327710:HHU327712 GXY327710:GXY327712 GOC327710:GOC327712 GEG327710:GEG327712 FUK327710:FUK327712 FKO327710:FKO327712 FAS327710:FAS327712 EQW327710:EQW327712 EHA327710:EHA327712 DXE327710:DXE327712 DNI327710:DNI327712 DDM327710:DDM327712 CTQ327710:CTQ327712 CJU327710:CJU327712 BZY327710:BZY327712 BQC327710:BQC327712 BGG327710:BGG327712 AWK327710:AWK327712 AMO327710:AMO327712 ACS327710:ACS327712 SW327710:SW327712 JA327710:JA327712 E327710:E327712 WVM262174:WVM262176 WLQ262174:WLQ262176 WBU262174:WBU262176 VRY262174:VRY262176 VIC262174:VIC262176 UYG262174:UYG262176 UOK262174:UOK262176 UEO262174:UEO262176 TUS262174:TUS262176 TKW262174:TKW262176 TBA262174:TBA262176 SRE262174:SRE262176 SHI262174:SHI262176 RXM262174:RXM262176 RNQ262174:RNQ262176 RDU262174:RDU262176 QTY262174:QTY262176 QKC262174:QKC262176 QAG262174:QAG262176 PQK262174:PQK262176 PGO262174:PGO262176 OWS262174:OWS262176 OMW262174:OMW262176 ODA262174:ODA262176 NTE262174:NTE262176 NJI262174:NJI262176 MZM262174:MZM262176 MPQ262174:MPQ262176 MFU262174:MFU262176 LVY262174:LVY262176 LMC262174:LMC262176 LCG262174:LCG262176 KSK262174:KSK262176 KIO262174:KIO262176 JYS262174:JYS262176 JOW262174:JOW262176 JFA262174:JFA262176 IVE262174:IVE262176 ILI262174:ILI262176 IBM262174:IBM262176 HRQ262174:HRQ262176 HHU262174:HHU262176 GXY262174:GXY262176 GOC262174:GOC262176 GEG262174:GEG262176 FUK262174:FUK262176 FKO262174:FKO262176 FAS262174:FAS262176 EQW262174:EQW262176 EHA262174:EHA262176 DXE262174:DXE262176 DNI262174:DNI262176 DDM262174:DDM262176 CTQ262174:CTQ262176 CJU262174:CJU262176 BZY262174:BZY262176 BQC262174:BQC262176 BGG262174:BGG262176 AWK262174:AWK262176 AMO262174:AMO262176 ACS262174:ACS262176 SW262174:SW262176 JA262174:JA262176 E262174:E262176 WVM196638:WVM196640 WLQ196638:WLQ196640 WBU196638:WBU196640 VRY196638:VRY196640 VIC196638:VIC196640 UYG196638:UYG196640 UOK196638:UOK196640 UEO196638:UEO196640 TUS196638:TUS196640 TKW196638:TKW196640 TBA196638:TBA196640 SRE196638:SRE196640 SHI196638:SHI196640 RXM196638:RXM196640 RNQ196638:RNQ196640 RDU196638:RDU196640 QTY196638:QTY196640 QKC196638:QKC196640 QAG196638:QAG196640 PQK196638:PQK196640 PGO196638:PGO196640 OWS196638:OWS196640 OMW196638:OMW196640 ODA196638:ODA196640 NTE196638:NTE196640 NJI196638:NJI196640 MZM196638:MZM196640 MPQ196638:MPQ196640 MFU196638:MFU196640 LVY196638:LVY196640 LMC196638:LMC196640 LCG196638:LCG196640 KSK196638:KSK196640 KIO196638:KIO196640 JYS196638:JYS196640 JOW196638:JOW196640 JFA196638:JFA196640 IVE196638:IVE196640 ILI196638:ILI196640 IBM196638:IBM196640 HRQ196638:HRQ196640 HHU196638:HHU196640 GXY196638:GXY196640 GOC196638:GOC196640 GEG196638:GEG196640 FUK196638:FUK196640 FKO196638:FKO196640 FAS196638:FAS196640 EQW196638:EQW196640 EHA196638:EHA196640 DXE196638:DXE196640 DNI196638:DNI196640 DDM196638:DDM196640 CTQ196638:CTQ196640 CJU196638:CJU196640 BZY196638:BZY196640 BQC196638:BQC196640 BGG196638:BGG196640 AWK196638:AWK196640 AMO196638:AMO196640 ACS196638:ACS196640 SW196638:SW196640 JA196638:JA196640 E196638:E196640 WVM131102:WVM131104 WLQ131102:WLQ131104 WBU131102:WBU131104 VRY131102:VRY131104 VIC131102:VIC131104 UYG131102:UYG131104 UOK131102:UOK131104 UEO131102:UEO131104 TUS131102:TUS131104 TKW131102:TKW131104 TBA131102:TBA131104 SRE131102:SRE131104 SHI131102:SHI131104 RXM131102:RXM131104 RNQ131102:RNQ131104 RDU131102:RDU131104 QTY131102:QTY131104 QKC131102:QKC131104 QAG131102:QAG131104 PQK131102:PQK131104 PGO131102:PGO131104 OWS131102:OWS131104 OMW131102:OMW131104 ODA131102:ODA131104 NTE131102:NTE131104 NJI131102:NJI131104 MZM131102:MZM131104 MPQ131102:MPQ131104 MFU131102:MFU131104 LVY131102:LVY131104 LMC131102:LMC131104 LCG131102:LCG131104 KSK131102:KSK131104 KIO131102:KIO131104 JYS131102:JYS131104 JOW131102:JOW131104 JFA131102:JFA131104 IVE131102:IVE131104 ILI131102:ILI131104 IBM131102:IBM131104 HRQ131102:HRQ131104 HHU131102:HHU131104 GXY131102:GXY131104 GOC131102:GOC131104 GEG131102:GEG131104 FUK131102:FUK131104 FKO131102:FKO131104 FAS131102:FAS131104 EQW131102:EQW131104 EHA131102:EHA131104 DXE131102:DXE131104 DNI131102:DNI131104 DDM131102:DDM131104 CTQ131102:CTQ131104 CJU131102:CJU131104 BZY131102:BZY131104 BQC131102:BQC131104 BGG131102:BGG131104 AWK131102:AWK131104 AMO131102:AMO131104 ACS131102:ACS131104 SW131102:SW131104 JA131102:JA131104 E131102:E131104 WVM65566:WVM65568 WLQ65566:WLQ65568 WBU65566:WBU65568 VRY65566:VRY65568 VIC65566:VIC65568 UYG65566:UYG65568 UOK65566:UOK65568 UEO65566:UEO65568 TUS65566:TUS65568 TKW65566:TKW65568 TBA65566:TBA65568 SRE65566:SRE65568 SHI65566:SHI65568 RXM65566:RXM65568 RNQ65566:RNQ65568 RDU65566:RDU65568 QTY65566:QTY65568 QKC65566:QKC65568 QAG65566:QAG65568 PQK65566:PQK65568 PGO65566:PGO65568 OWS65566:OWS65568 OMW65566:OMW65568 ODA65566:ODA65568 NTE65566:NTE65568 NJI65566:NJI65568 MZM65566:MZM65568 MPQ65566:MPQ65568 MFU65566:MFU65568 LVY65566:LVY65568 LMC65566:LMC65568 LCG65566:LCG65568 KSK65566:KSK65568 KIO65566:KIO65568 JYS65566:JYS65568 JOW65566:JOW65568 JFA65566:JFA65568 IVE65566:IVE65568 ILI65566:ILI65568 IBM65566:IBM65568 HRQ65566:HRQ65568 HHU65566:HHU65568 GXY65566:GXY65568 GOC65566:GOC65568 GEG65566:GEG65568 FUK65566:FUK65568 FKO65566:FKO65568 FAS65566:FAS65568 EQW65566:EQW65568 EHA65566:EHA65568 DXE65566:DXE65568 DNI65566:DNI65568 DDM65566:DDM65568 CTQ65566:CTQ65568 CJU65566:CJU65568 BZY65566:BZY65568 BQC65566:BQC65568 BGG65566:BGG65568 AWK65566:AWK65568 AMO65566:AMO65568 ACS65566:ACS65568 SW65566:SW65568 JA65566:JA65568 E65566:E65568 WVM30:WVM32 WLQ30:WLQ32 WBU30:WBU32 VRY30:VRY32 VIC30:VIC32 UYG30:UYG32 UOK30:UOK32 UEO30:UEO32 TUS30:TUS32 TKW30:TKW32 TBA30:TBA32 SRE30:SRE32 SHI30:SHI32 RXM30:RXM32 RNQ30:RNQ32 RDU30:RDU32 QTY30:QTY32 QKC30:QKC32 QAG30:QAG32 PQK30:PQK32 PGO30:PGO32 OWS30:OWS32 OMW30:OMW32 ODA30:ODA32 NTE30:NTE32 NJI30:NJI32 MZM30:MZM32 MPQ30:MPQ32 MFU30:MFU32 LVY30:LVY32 LMC30:LMC32 LCG30:LCG32 KSK30:KSK32 KIO30:KIO32 JYS30:JYS32 JOW30:JOW32 JFA30:JFA32 IVE30:IVE32 ILI30:ILI32 IBM30:IBM32 HRQ30:HRQ32 HHU30:HHU32 GXY30:GXY32 GOC30:GOC32 GEG30:GEG32 FUK30:FUK32 FKO30:FKO32 FAS30:FAS32 EQW30:EQW32 EHA30:EHA32 DXE30:DXE32 DNI30:DNI32 DDM30:DDM32 CTQ30:CTQ32 CJU30:CJU32 BZY30:BZY32 BQC30:BQC32 BGG30:BGG32 AWK30:AWK32 AMO30:AMO32 ACS30:ACS32 SW30:SW32 JA30:JA32 E30:E32 WVM983075:WVM983076 WLQ983075:WLQ983076 WBU983075:WBU983076 VRY983075:VRY983076 VIC983075:VIC983076 UYG983075:UYG983076 UOK983075:UOK983076 UEO983075:UEO983076 TUS983075:TUS983076 TKW983075:TKW983076 TBA983075:TBA983076 SRE983075:SRE983076 SHI983075:SHI983076 RXM983075:RXM983076 RNQ983075:RNQ983076 RDU983075:RDU983076 QTY983075:QTY983076 QKC983075:QKC983076 QAG983075:QAG983076 PQK983075:PQK983076 PGO983075:PGO983076 OWS983075:OWS983076 OMW983075:OMW983076 ODA983075:ODA983076 NTE983075:NTE983076 NJI983075:NJI983076 MZM983075:MZM983076 MPQ983075:MPQ983076 MFU983075:MFU983076 LVY983075:LVY983076 LMC983075:LMC983076 LCG983075:LCG983076 KSK983075:KSK983076 KIO983075:KIO983076 JYS983075:JYS983076 JOW983075:JOW983076 JFA983075:JFA983076 IVE983075:IVE983076 ILI983075:ILI983076 IBM983075:IBM983076 HRQ983075:HRQ983076 HHU983075:HHU983076 GXY983075:GXY983076 GOC983075:GOC983076 GEG983075:GEG983076 FUK983075:FUK983076 FKO983075:FKO983076 FAS983075:FAS983076 EQW983075:EQW983076 EHA983075:EHA983076 DXE983075:DXE983076 DNI983075:DNI983076 DDM983075:DDM983076 CTQ983075:CTQ983076 CJU983075:CJU983076 BZY983075:BZY983076 BQC983075:BQC983076 BGG983075:BGG983076 AWK983075:AWK983076 AMO983075:AMO983076 ACS983075:ACS983076 SW983075:SW983076 JA983075:JA983076 E983075:E983076 WVM917539:WVM917540 WLQ917539:WLQ917540 WBU917539:WBU917540 VRY917539:VRY917540 VIC917539:VIC917540 UYG917539:UYG917540 UOK917539:UOK917540 UEO917539:UEO917540 TUS917539:TUS917540 TKW917539:TKW917540 TBA917539:TBA917540 SRE917539:SRE917540 SHI917539:SHI917540 RXM917539:RXM917540 RNQ917539:RNQ917540 RDU917539:RDU917540 QTY917539:QTY917540 QKC917539:QKC917540 QAG917539:QAG917540 PQK917539:PQK917540 PGO917539:PGO917540 OWS917539:OWS917540 OMW917539:OMW917540 ODA917539:ODA917540 NTE917539:NTE917540 NJI917539:NJI917540 MZM917539:MZM917540 MPQ917539:MPQ917540 MFU917539:MFU917540 LVY917539:LVY917540 LMC917539:LMC917540 LCG917539:LCG917540 KSK917539:KSK917540 KIO917539:KIO917540 JYS917539:JYS917540 JOW917539:JOW917540 JFA917539:JFA917540 IVE917539:IVE917540 ILI917539:ILI917540 IBM917539:IBM917540 HRQ917539:HRQ917540 HHU917539:HHU917540 GXY917539:GXY917540 GOC917539:GOC917540 GEG917539:GEG917540 FUK917539:FUK917540 FKO917539:FKO917540 FAS917539:FAS917540 EQW917539:EQW917540 EHA917539:EHA917540 DXE917539:DXE917540 DNI917539:DNI917540 DDM917539:DDM917540 CTQ917539:CTQ917540 CJU917539:CJU917540 BZY917539:BZY917540 BQC917539:BQC917540 BGG917539:BGG917540 AWK917539:AWK917540 AMO917539:AMO917540 ACS917539:ACS917540 SW917539:SW917540 JA917539:JA917540 E917539:E917540 WVM852003:WVM852004 WLQ852003:WLQ852004 WBU852003:WBU852004 VRY852003:VRY852004 VIC852003:VIC852004 UYG852003:UYG852004 UOK852003:UOK852004 UEO852003:UEO852004 TUS852003:TUS852004 TKW852003:TKW852004 TBA852003:TBA852004 SRE852003:SRE852004 SHI852003:SHI852004 RXM852003:RXM852004 RNQ852003:RNQ852004 RDU852003:RDU852004 QTY852003:QTY852004 QKC852003:QKC852004 QAG852003:QAG852004 PQK852003:PQK852004 PGO852003:PGO852004 OWS852003:OWS852004 OMW852003:OMW852004 ODA852003:ODA852004 NTE852003:NTE852004 NJI852003:NJI852004 MZM852003:MZM852004 MPQ852003:MPQ852004 MFU852003:MFU852004 LVY852003:LVY852004 LMC852003:LMC852004 LCG852003:LCG852004 KSK852003:KSK852004 KIO852003:KIO852004 JYS852003:JYS852004 JOW852003:JOW852004 JFA852003:JFA852004 IVE852003:IVE852004 ILI852003:ILI852004 IBM852003:IBM852004 HRQ852003:HRQ852004 HHU852003:HHU852004 GXY852003:GXY852004 GOC852003:GOC852004 GEG852003:GEG852004 FUK852003:FUK852004 FKO852003:FKO852004 FAS852003:FAS852004 EQW852003:EQW852004 EHA852003:EHA852004 DXE852003:DXE852004 DNI852003:DNI852004 DDM852003:DDM852004 CTQ852003:CTQ852004 CJU852003:CJU852004 BZY852003:BZY852004 BQC852003:BQC852004 BGG852003:BGG852004 AWK852003:AWK852004 AMO852003:AMO852004 ACS852003:ACS852004 SW852003:SW852004 JA852003:JA852004 E852003:E852004 WVM786467:WVM786468 WLQ786467:WLQ786468 WBU786467:WBU786468 VRY786467:VRY786468 VIC786467:VIC786468 UYG786467:UYG786468 UOK786467:UOK786468 UEO786467:UEO786468 TUS786467:TUS786468 TKW786467:TKW786468 TBA786467:TBA786468 SRE786467:SRE786468 SHI786467:SHI786468 RXM786467:RXM786468 RNQ786467:RNQ786468 RDU786467:RDU786468 QTY786467:QTY786468 QKC786467:QKC786468 QAG786467:QAG786468 PQK786467:PQK786468 PGO786467:PGO786468 OWS786467:OWS786468 OMW786467:OMW786468 ODA786467:ODA786468 NTE786467:NTE786468 NJI786467:NJI786468 MZM786467:MZM786468 MPQ786467:MPQ786468 MFU786467:MFU786468 LVY786467:LVY786468 LMC786467:LMC786468 LCG786467:LCG786468 KSK786467:KSK786468 KIO786467:KIO786468 JYS786467:JYS786468 JOW786467:JOW786468 JFA786467:JFA786468 IVE786467:IVE786468 ILI786467:ILI786468 IBM786467:IBM786468 HRQ786467:HRQ786468 HHU786467:HHU786468 GXY786467:GXY786468 GOC786467:GOC786468 GEG786467:GEG786468 FUK786467:FUK786468 FKO786467:FKO786468 FAS786467:FAS786468 EQW786467:EQW786468 EHA786467:EHA786468 DXE786467:DXE786468 DNI786467:DNI786468 DDM786467:DDM786468 CTQ786467:CTQ786468 CJU786467:CJU786468 BZY786467:BZY786468 BQC786467:BQC786468 BGG786467:BGG786468 AWK786467:AWK786468 AMO786467:AMO786468 ACS786467:ACS786468 SW786467:SW786468 JA786467:JA786468 E786467:E786468 WVM720931:WVM720932 WLQ720931:WLQ720932 WBU720931:WBU720932 VRY720931:VRY720932 VIC720931:VIC720932 UYG720931:UYG720932 UOK720931:UOK720932 UEO720931:UEO720932 TUS720931:TUS720932 TKW720931:TKW720932 TBA720931:TBA720932 SRE720931:SRE720932 SHI720931:SHI720932 RXM720931:RXM720932 RNQ720931:RNQ720932 RDU720931:RDU720932 QTY720931:QTY720932 QKC720931:QKC720932 QAG720931:QAG720932 PQK720931:PQK720932 PGO720931:PGO720932 OWS720931:OWS720932 OMW720931:OMW720932 ODA720931:ODA720932 NTE720931:NTE720932 NJI720931:NJI720932 MZM720931:MZM720932 MPQ720931:MPQ720932 MFU720931:MFU720932 LVY720931:LVY720932 LMC720931:LMC720932 LCG720931:LCG720932 KSK720931:KSK720932 KIO720931:KIO720932 JYS720931:JYS720932 JOW720931:JOW720932 JFA720931:JFA720932 IVE720931:IVE720932 ILI720931:ILI720932 IBM720931:IBM720932 HRQ720931:HRQ720932 HHU720931:HHU720932 GXY720931:GXY720932 GOC720931:GOC720932 GEG720931:GEG720932 FUK720931:FUK720932 FKO720931:FKO720932 FAS720931:FAS720932 EQW720931:EQW720932 EHA720931:EHA720932 DXE720931:DXE720932 DNI720931:DNI720932 DDM720931:DDM720932 CTQ720931:CTQ720932 CJU720931:CJU720932 BZY720931:BZY720932 BQC720931:BQC720932 BGG720931:BGG720932 AWK720931:AWK720932 AMO720931:AMO720932 ACS720931:ACS720932 SW720931:SW720932 JA720931:JA720932 E720931:E720932 WVM655395:WVM655396 WLQ655395:WLQ655396 WBU655395:WBU655396 VRY655395:VRY655396 VIC655395:VIC655396 UYG655395:UYG655396 UOK655395:UOK655396 UEO655395:UEO655396 TUS655395:TUS655396 TKW655395:TKW655396 TBA655395:TBA655396 SRE655395:SRE655396 SHI655395:SHI655396 RXM655395:RXM655396 RNQ655395:RNQ655396 RDU655395:RDU655396 QTY655395:QTY655396 QKC655395:QKC655396 QAG655395:QAG655396 PQK655395:PQK655396 PGO655395:PGO655396 OWS655395:OWS655396 OMW655395:OMW655396 ODA655395:ODA655396 NTE655395:NTE655396 NJI655395:NJI655396 MZM655395:MZM655396 MPQ655395:MPQ655396 MFU655395:MFU655396 LVY655395:LVY655396 LMC655395:LMC655396 LCG655395:LCG655396 KSK655395:KSK655396 KIO655395:KIO655396 JYS655395:JYS655396 JOW655395:JOW655396 JFA655395:JFA655396 IVE655395:IVE655396 ILI655395:ILI655396 IBM655395:IBM655396 HRQ655395:HRQ655396 HHU655395:HHU655396 GXY655395:GXY655396 GOC655395:GOC655396 GEG655395:GEG655396 FUK655395:FUK655396 FKO655395:FKO655396 FAS655395:FAS655396 EQW655395:EQW655396 EHA655395:EHA655396 DXE655395:DXE655396 DNI655395:DNI655396 DDM655395:DDM655396 CTQ655395:CTQ655396 CJU655395:CJU655396 BZY655395:BZY655396 BQC655395:BQC655396 BGG655395:BGG655396 AWK655395:AWK655396 AMO655395:AMO655396 ACS655395:ACS655396 SW655395:SW655396 JA655395:JA655396 E655395:E655396 WVM589859:WVM589860 WLQ589859:WLQ589860 WBU589859:WBU589860 VRY589859:VRY589860 VIC589859:VIC589860 UYG589859:UYG589860 UOK589859:UOK589860 UEO589859:UEO589860 TUS589859:TUS589860 TKW589859:TKW589860 TBA589859:TBA589860 SRE589859:SRE589860 SHI589859:SHI589860 RXM589859:RXM589860 RNQ589859:RNQ589860 RDU589859:RDU589860 QTY589859:QTY589860 QKC589859:QKC589860 QAG589859:QAG589860 PQK589859:PQK589860 PGO589859:PGO589860 OWS589859:OWS589860 OMW589859:OMW589860 ODA589859:ODA589860 NTE589859:NTE589860 NJI589859:NJI589860 MZM589859:MZM589860 MPQ589859:MPQ589860 MFU589859:MFU589860 LVY589859:LVY589860 LMC589859:LMC589860 LCG589859:LCG589860 KSK589859:KSK589860 KIO589859:KIO589860 JYS589859:JYS589860 JOW589859:JOW589860 JFA589859:JFA589860 IVE589859:IVE589860 ILI589859:ILI589860 IBM589859:IBM589860 HRQ589859:HRQ589860 HHU589859:HHU589860 GXY589859:GXY589860 GOC589859:GOC589860 GEG589859:GEG589860 FUK589859:FUK589860 FKO589859:FKO589860 FAS589859:FAS589860 EQW589859:EQW589860 EHA589859:EHA589860 DXE589859:DXE589860 DNI589859:DNI589860 DDM589859:DDM589860 CTQ589859:CTQ589860 CJU589859:CJU589860 BZY589859:BZY589860 BQC589859:BQC589860 BGG589859:BGG589860 AWK589859:AWK589860 AMO589859:AMO589860 ACS589859:ACS589860 SW589859:SW589860 JA589859:JA589860 E589859:E589860 WVM524323:WVM524324 WLQ524323:WLQ524324 WBU524323:WBU524324 VRY524323:VRY524324 VIC524323:VIC524324 UYG524323:UYG524324 UOK524323:UOK524324 UEO524323:UEO524324 TUS524323:TUS524324 TKW524323:TKW524324 TBA524323:TBA524324 SRE524323:SRE524324 SHI524323:SHI524324 RXM524323:RXM524324 RNQ524323:RNQ524324 RDU524323:RDU524324 QTY524323:QTY524324 QKC524323:QKC524324 QAG524323:QAG524324 PQK524323:PQK524324 PGO524323:PGO524324 OWS524323:OWS524324 OMW524323:OMW524324 ODA524323:ODA524324 NTE524323:NTE524324 NJI524323:NJI524324 MZM524323:MZM524324 MPQ524323:MPQ524324 MFU524323:MFU524324 LVY524323:LVY524324 LMC524323:LMC524324 LCG524323:LCG524324 KSK524323:KSK524324 KIO524323:KIO524324 JYS524323:JYS524324 JOW524323:JOW524324 JFA524323:JFA524324 IVE524323:IVE524324 ILI524323:ILI524324 IBM524323:IBM524324 HRQ524323:HRQ524324 HHU524323:HHU524324 GXY524323:GXY524324 GOC524323:GOC524324 GEG524323:GEG524324 FUK524323:FUK524324 FKO524323:FKO524324 FAS524323:FAS524324 EQW524323:EQW524324 EHA524323:EHA524324 DXE524323:DXE524324 DNI524323:DNI524324 DDM524323:DDM524324 CTQ524323:CTQ524324 CJU524323:CJU524324 BZY524323:BZY524324 BQC524323:BQC524324 BGG524323:BGG524324 AWK524323:AWK524324 AMO524323:AMO524324 ACS524323:ACS524324 SW524323:SW524324 JA524323:JA524324 E524323:E524324 WVM458787:WVM458788 WLQ458787:WLQ458788 WBU458787:WBU458788 VRY458787:VRY458788 VIC458787:VIC458788 UYG458787:UYG458788 UOK458787:UOK458788 UEO458787:UEO458788 TUS458787:TUS458788 TKW458787:TKW458788 TBA458787:TBA458788 SRE458787:SRE458788 SHI458787:SHI458788 RXM458787:RXM458788 RNQ458787:RNQ458788 RDU458787:RDU458788 QTY458787:QTY458788 QKC458787:QKC458788 QAG458787:QAG458788 PQK458787:PQK458788 PGO458787:PGO458788 OWS458787:OWS458788 OMW458787:OMW458788 ODA458787:ODA458788 NTE458787:NTE458788 NJI458787:NJI458788 MZM458787:MZM458788 MPQ458787:MPQ458788 MFU458787:MFU458788 LVY458787:LVY458788 LMC458787:LMC458788 LCG458787:LCG458788 KSK458787:KSK458788 KIO458787:KIO458788 JYS458787:JYS458788 JOW458787:JOW458788 JFA458787:JFA458788 IVE458787:IVE458788 ILI458787:ILI458788 IBM458787:IBM458788 HRQ458787:HRQ458788 HHU458787:HHU458788 GXY458787:GXY458788 GOC458787:GOC458788 GEG458787:GEG458788 FUK458787:FUK458788 FKO458787:FKO458788 FAS458787:FAS458788 EQW458787:EQW458788 EHA458787:EHA458788 DXE458787:DXE458788 DNI458787:DNI458788 DDM458787:DDM458788 CTQ458787:CTQ458788 CJU458787:CJU458788 BZY458787:BZY458788 BQC458787:BQC458788 BGG458787:BGG458788 AWK458787:AWK458788 AMO458787:AMO458788 ACS458787:ACS458788 SW458787:SW458788 JA458787:JA458788 E458787:E458788 WVM393251:WVM393252 WLQ393251:WLQ393252 WBU393251:WBU393252 VRY393251:VRY393252 VIC393251:VIC393252 UYG393251:UYG393252 UOK393251:UOK393252 UEO393251:UEO393252 TUS393251:TUS393252 TKW393251:TKW393252 TBA393251:TBA393252 SRE393251:SRE393252 SHI393251:SHI393252 RXM393251:RXM393252 RNQ393251:RNQ393252 RDU393251:RDU393252 QTY393251:QTY393252 QKC393251:QKC393252 QAG393251:QAG393252 PQK393251:PQK393252 PGO393251:PGO393252 OWS393251:OWS393252 OMW393251:OMW393252 ODA393251:ODA393252 NTE393251:NTE393252 NJI393251:NJI393252 MZM393251:MZM393252 MPQ393251:MPQ393252 MFU393251:MFU393252 LVY393251:LVY393252 LMC393251:LMC393252 LCG393251:LCG393252 KSK393251:KSK393252 KIO393251:KIO393252 JYS393251:JYS393252 JOW393251:JOW393252 JFA393251:JFA393252 IVE393251:IVE393252 ILI393251:ILI393252 IBM393251:IBM393252 HRQ393251:HRQ393252 HHU393251:HHU393252 GXY393251:GXY393252 GOC393251:GOC393252 GEG393251:GEG393252 FUK393251:FUK393252 FKO393251:FKO393252 FAS393251:FAS393252 EQW393251:EQW393252 EHA393251:EHA393252 DXE393251:DXE393252 DNI393251:DNI393252 DDM393251:DDM393252 CTQ393251:CTQ393252 CJU393251:CJU393252 BZY393251:BZY393252 BQC393251:BQC393252 BGG393251:BGG393252 AWK393251:AWK393252 AMO393251:AMO393252 ACS393251:ACS393252 SW393251:SW393252 JA393251:JA393252 E393251:E393252 WVM327715:WVM327716 WLQ327715:WLQ327716 WBU327715:WBU327716 VRY327715:VRY327716 VIC327715:VIC327716 UYG327715:UYG327716 UOK327715:UOK327716 UEO327715:UEO327716 TUS327715:TUS327716 TKW327715:TKW327716 TBA327715:TBA327716 SRE327715:SRE327716 SHI327715:SHI327716 RXM327715:RXM327716 RNQ327715:RNQ327716 RDU327715:RDU327716 QTY327715:QTY327716 QKC327715:QKC327716 QAG327715:QAG327716 PQK327715:PQK327716 PGO327715:PGO327716 OWS327715:OWS327716 OMW327715:OMW327716 ODA327715:ODA327716 NTE327715:NTE327716 NJI327715:NJI327716 MZM327715:MZM327716 MPQ327715:MPQ327716 MFU327715:MFU327716 LVY327715:LVY327716 LMC327715:LMC327716 LCG327715:LCG327716 KSK327715:KSK327716 KIO327715:KIO327716 JYS327715:JYS327716 JOW327715:JOW327716 JFA327715:JFA327716 IVE327715:IVE327716 ILI327715:ILI327716 IBM327715:IBM327716 HRQ327715:HRQ327716 HHU327715:HHU327716 GXY327715:GXY327716 GOC327715:GOC327716 GEG327715:GEG327716 FUK327715:FUK327716 FKO327715:FKO327716 FAS327715:FAS327716 EQW327715:EQW327716 EHA327715:EHA327716 DXE327715:DXE327716 DNI327715:DNI327716 DDM327715:DDM327716 CTQ327715:CTQ327716 CJU327715:CJU327716 BZY327715:BZY327716 BQC327715:BQC327716 BGG327715:BGG327716 AWK327715:AWK327716 AMO327715:AMO327716 ACS327715:ACS327716 SW327715:SW327716 JA327715:JA327716 E327715:E327716 WVM262179:WVM262180 WLQ262179:WLQ262180 WBU262179:WBU262180 VRY262179:VRY262180 VIC262179:VIC262180 UYG262179:UYG262180 UOK262179:UOK262180 UEO262179:UEO262180 TUS262179:TUS262180 TKW262179:TKW262180 TBA262179:TBA262180 SRE262179:SRE262180 SHI262179:SHI262180 RXM262179:RXM262180 RNQ262179:RNQ262180 RDU262179:RDU262180 QTY262179:QTY262180 QKC262179:QKC262180 QAG262179:QAG262180 PQK262179:PQK262180 PGO262179:PGO262180 OWS262179:OWS262180 OMW262179:OMW262180 ODA262179:ODA262180 NTE262179:NTE262180 NJI262179:NJI262180 MZM262179:MZM262180 MPQ262179:MPQ262180 MFU262179:MFU262180 LVY262179:LVY262180 LMC262179:LMC262180 LCG262179:LCG262180 KSK262179:KSK262180 KIO262179:KIO262180 JYS262179:JYS262180 JOW262179:JOW262180 JFA262179:JFA262180 IVE262179:IVE262180 ILI262179:ILI262180 IBM262179:IBM262180 HRQ262179:HRQ262180 HHU262179:HHU262180 GXY262179:GXY262180 GOC262179:GOC262180 GEG262179:GEG262180 FUK262179:FUK262180 FKO262179:FKO262180 FAS262179:FAS262180 EQW262179:EQW262180 EHA262179:EHA262180 DXE262179:DXE262180 DNI262179:DNI262180 DDM262179:DDM262180 CTQ262179:CTQ262180 CJU262179:CJU262180 BZY262179:BZY262180 BQC262179:BQC262180 BGG262179:BGG262180 AWK262179:AWK262180 AMO262179:AMO262180 ACS262179:ACS262180 SW262179:SW262180 JA262179:JA262180 E262179:E262180 WVM196643:WVM196644 WLQ196643:WLQ196644 WBU196643:WBU196644 VRY196643:VRY196644 VIC196643:VIC196644 UYG196643:UYG196644 UOK196643:UOK196644 UEO196643:UEO196644 TUS196643:TUS196644 TKW196643:TKW196644 TBA196643:TBA196644 SRE196643:SRE196644 SHI196643:SHI196644 RXM196643:RXM196644 RNQ196643:RNQ196644 RDU196643:RDU196644 QTY196643:QTY196644 QKC196643:QKC196644 QAG196643:QAG196644 PQK196643:PQK196644 PGO196643:PGO196644 OWS196643:OWS196644 OMW196643:OMW196644 ODA196643:ODA196644 NTE196643:NTE196644 NJI196643:NJI196644 MZM196643:MZM196644 MPQ196643:MPQ196644 MFU196643:MFU196644 LVY196643:LVY196644 LMC196643:LMC196644 LCG196643:LCG196644 KSK196643:KSK196644 KIO196643:KIO196644 JYS196643:JYS196644 JOW196643:JOW196644 JFA196643:JFA196644 IVE196643:IVE196644 ILI196643:ILI196644 IBM196643:IBM196644 HRQ196643:HRQ196644 HHU196643:HHU196644 GXY196643:GXY196644 GOC196643:GOC196644 GEG196643:GEG196644 FUK196643:FUK196644 FKO196643:FKO196644 FAS196643:FAS196644 EQW196643:EQW196644 EHA196643:EHA196644 DXE196643:DXE196644 DNI196643:DNI196644 DDM196643:DDM196644 CTQ196643:CTQ196644 CJU196643:CJU196644 BZY196643:BZY196644 BQC196643:BQC196644 BGG196643:BGG196644 AWK196643:AWK196644 AMO196643:AMO196644 ACS196643:ACS196644 SW196643:SW196644 JA196643:JA196644 E196643:E196644 WVM131107:WVM131108 WLQ131107:WLQ131108 WBU131107:WBU131108 VRY131107:VRY131108 VIC131107:VIC131108 UYG131107:UYG131108 UOK131107:UOK131108 UEO131107:UEO131108 TUS131107:TUS131108 TKW131107:TKW131108 TBA131107:TBA131108 SRE131107:SRE131108 SHI131107:SHI131108 RXM131107:RXM131108 RNQ131107:RNQ131108 RDU131107:RDU131108 QTY131107:QTY131108 QKC131107:QKC131108 QAG131107:QAG131108 PQK131107:PQK131108 PGO131107:PGO131108 OWS131107:OWS131108 OMW131107:OMW131108 ODA131107:ODA131108 NTE131107:NTE131108 NJI131107:NJI131108 MZM131107:MZM131108 MPQ131107:MPQ131108 MFU131107:MFU131108 LVY131107:LVY131108 LMC131107:LMC131108 LCG131107:LCG131108 KSK131107:KSK131108 KIO131107:KIO131108 JYS131107:JYS131108 JOW131107:JOW131108 JFA131107:JFA131108 IVE131107:IVE131108 ILI131107:ILI131108 IBM131107:IBM131108 HRQ131107:HRQ131108 HHU131107:HHU131108 GXY131107:GXY131108 GOC131107:GOC131108 GEG131107:GEG131108 FUK131107:FUK131108 FKO131107:FKO131108 FAS131107:FAS131108 EQW131107:EQW131108 EHA131107:EHA131108 DXE131107:DXE131108 DNI131107:DNI131108 DDM131107:DDM131108 CTQ131107:CTQ131108 CJU131107:CJU131108 BZY131107:BZY131108 BQC131107:BQC131108 BGG131107:BGG131108 AWK131107:AWK131108 AMO131107:AMO131108 ACS131107:ACS131108 SW131107:SW131108 JA131107:JA131108 E131107:E131108 WVM65571:WVM65572 WLQ65571:WLQ65572 WBU65571:WBU65572 VRY65571:VRY65572 VIC65571:VIC65572 UYG65571:UYG65572 UOK65571:UOK65572 UEO65571:UEO65572 TUS65571:TUS65572 TKW65571:TKW65572 TBA65571:TBA65572 SRE65571:SRE65572 SHI65571:SHI65572 RXM65571:RXM65572 RNQ65571:RNQ65572 RDU65571:RDU65572 QTY65571:QTY65572 QKC65571:QKC65572 QAG65571:QAG65572 PQK65571:PQK65572 PGO65571:PGO65572 OWS65571:OWS65572 OMW65571:OMW65572 ODA65571:ODA65572 NTE65571:NTE65572 NJI65571:NJI65572 MZM65571:MZM65572 MPQ65571:MPQ65572 MFU65571:MFU65572 LVY65571:LVY65572 LMC65571:LMC65572 LCG65571:LCG65572 KSK65571:KSK65572 KIO65571:KIO65572 JYS65571:JYS65572 JOW65571:JOW65572 JFA65571:JFA65572 IVE65571:IVE65572 ILI65571:ILI65572 IBM65571:IBM65572 HRQ65571:HRQ65572 HHU65571:HHU65572 GXY65571:GXY65572 GOC65571:GOC65572 GEG65571:GEG65572 FUK65571:FUK65572 FKO65571:FKO65572 FAS65571:FAS65572 EQW65571:EQW65572 EHA65571:EHA65572 DXE65571:DXE65572 DNI65571:DNI65572 DDM65571:DDM65572 CTQ65571:CTQ65572 CJU65571:CJU65572 BZY65571:BZY65572 BQC65571:BQC65572 BGG65571:BGG65572 AWK65571:AWK65572 AMO65571:AMO65572 ACS65571:ACS65572 SW65571:SW65572 JA65571:JA65572 E65571:E65572 WVM35:WVM36 WLQ35:WLQ36 WBU35:WBU36 VRY35:VRY36 VIC35:VIC36 UYG35:UYG36 UOK35:UOK36 UEO35:UEO36 TUS35:TUS36 TKW35:TKW36 TBA35:TBA36 SRE35:SRE36 SHI35:SHI36 RXM35:RXM36 RNQ35:RNQ36 RDU35:RDU36 QTY35:QTY36 QKC35:QKC36 QAG35:QAG36 PQK35:PQK36 PGO35:PGO36 OWS35:OWS36 OMW35:OMW36 ODA35:ODA36 NTE35:NTE36 NJI35:NJI36 MZM35:MZM36 MPQ35:MPQ36 MFU35:MFU36 LVY35:LVY36 LMC35:LMC36 LCG35:LCG36 KSK35:KSK36 KIO35:KIO36 JYS35:JYS36 JOW35:JOW36 JFA35:JFA36 IVE35:IVE36 ILI35:ILI36 IBM35:IBM36 HRQ35:HRQ36 HHU35:HHU36 GXY35:GXY36 GOC35:GOC36 GEG35:GEG36 FUK35:FUK36 FKO35:FKO36 FAS35:FAS36 EQW35:EQW36 EHA35:EHA36 DXE35:DXE36 DNI35:DNI36 DDM35:DDM36 CTQ35:CTQ36 CJU35:CJU36 BZY35:BZY36 BQC35:BQC36 BGG35:BGG36 AWK35:AWK36 AMO35:AMO36 ACS35:ACS36 SW35:SW36 JA35:JA36">
      <formula1>yesno</formula1>
    </dataValidation>
    <dataValidation type="list" allowBlank="1" showInputMessage="1" showErrorMessage="1" sqref="WBU983100 G40:G100 VRY983100 VIC983100 UYG983100 UOK983100 UEO983100 TUS983100 TKW983100 TBA983100 SRE983100 SHI983100 RXM983100 RNQ983100 RDU983100 QTY983100 QKC983100 QAG983100 PQK983100 PGO983100 OWS983100 OMW983100 ODA983100 NTE983100 NJI983100 MZM983100 MPQ983100 MFU983100 LVY983100 LMC983100 LCG983100 KSK983100 KIO983100 JYS983100 JOW983100 JFA983100 IVE983100 ILI983100 IBM983100 HRQ983100 HHU983100 GXY983100 GOC983100 GEG983100 FUK983100 FKO983100 FAS983100 EQW983100 EHA983100 DXE983100 DNI983100 DDM983100 CTQ983100 CJU983100 BZY983100 BQC983100 BGG983100 AWK983100 AMO983100 ACS983100 SW983100 JA983100 E983100 WVM917564 WLQ917564 WBU917564 VRY917564 VIC917564 UYG917564 UOK917564 UEO917564 TUS917564 TKW917564 TBA917564 SRE917564 SHI917564 RXM917564 RNQ917564 RDU917564 QTY917564 QKC917564 QAG917564 PQK917564 PGO917564 OWS917564 OMW917564 ODA917564 NTE917564 NJI917564 MZM917564 MPQ917564 MFU917564 LVY917564 LMC917564 LCG917564 KSK917564 KIO917564 JYS917564 JOW917564 JFA917564 IVE917564 ILI917564 IBM917564 HRQ917564 HHU917564 GXY917564 GOC917564 GEG917564 FUK917564 FKO917564 FAS917564 EQW917564 EHA917564 DXE917564 DNI917564 DDM917564 CTQ917564 CJU917564 BZY917564 BQC917564 BGG917564 AWK917564 AMO917564 ACS917564 SW917564 JA917564 E917564 WVM852028 WLQ852028 WBU852028 VRY852028 VIC852028 UYG852028 UOK852028 UEO852028 TUS852028 TKW852028 TBA852028 SRE852028 SHI852028 RXM852028 RNQ852028 RDU852028 QTY852028 QKC852028 QAG852028 PQK852028 PGO852028 OWS852028 OMW852028 ODA852028 NTE852028 NJI852028 MZM852028 MPQ852028 MFU852028 LVY852028 LMC852028 LCG852028 KSK852028 KIO852028 JYS852028 JOW852028 JFA852028 IVE852028 ILI852028 IBM852028 HRQ852028 HHU852028 GXY852028 GOC852028 GEG852028 FUK852028 FKO852028 FAS852028 EQW852028 EHA852028 DXE852028 DNI852028 DDM852028 CTQ852028 CJU852028 BZY852028 BQC852028 BGG852028 AWK852028 AMO852028 ACS852028 SW852028 JA852028 E852028 WVM786492 WLQ786492 WBU786492 VRY786492 VIC786492 UYG786492 UOK786492 UEO786492 TUS786492 TKW786492 TBA786492 SRE786492 SHI786492 RXM786492 RNQ786492 RDU786492 QTY786492 QKC786492 QAG786492 PQK786492 PGO786492 OWS786492 OMW786492 ODA786492 NTE786492 NJI786492 MZM786492 MPQ786492 MFU786492 LVY786492 LMC786492 LCG786492 KSK786492 KIO786492 JYS786492 JOW786492 JFA786492 IVE786492 ILI786492 IBM786492 HRQ786492 HHU786492 GXY786492 GOC786492 GEG786492 FUK786492 FKO786492 FAS786492 EQW786492 EHA786492 DXE786492 DNI786492 DDM786492 CTQ786492 CJU786492 BZY786492 BQC786492 BGG786492 AWK786492 AMO786492 ACS786492 SW786492 JA786492 E786492 WVM720956 WLQ720956 WBU720956 VRY720956 VIC720956 UYG720956 UOK720956 UEO720956 TUS720956 TKW720956 TBA720956 SRE720956 SHI720956 RXM720956 RNQ720956 RDU720956 QTY720956 QKC720956 QAG720956 PQK720956 PGO720956 OWS720956 OMW720956 ODA720956 NTE720956 NJI720956 MZM720956 MPQ720956 MFU720956 LVY720956 LMC720956 LCG720956 KSK720956 KIO720956 JYS720956 JOW720956 JFA720956 IVE720956 ILI720956 IBM720956 HRQ720956 HHU720956 GXY720956 GOC720956 GEG720956 FUK720956 FKO720956 FAS720956 EQW720956 EHA720956 DXE720956 DNI720956 DDM720956 CTQ720956 CJU720956 BZY720956 BQC720956 BGG720956 AWK720956 AMO720956 ACS720956 SW720956 JA720956 E720956 WVM655420 WLQ655420 WBU655420 VRY655420 VIC655420 UYG655420 UOK655420 UEO655420 TUS655420 TKW655420 TBA655420 SRE655420 SHI655420 RXM655420 RNQ655420 RDU655420 QTY655420 QKC655420 QAG655420 PQK655420 PGO655420 OWS655420 OMW655420 ODA655420 NTE655420 NJI655420 MZM655420 MPQ655420 MFU655420 LVY655420 LMC655420 LCG655420 KSK655420 KIO655420 JYS655420 JOW655420 JFA655420 IVE655420 ILI655420 IBM655420 HRQ655420 HHU655420 GXY655420 GOC655420 GEG655420 FUK655420 FKO655420 FAS655420 EQW655420 EHA655420 DXE655420 DNI655420 DDM655420 CTQ655420 CJU655420 BZY655420 BQC655420 BGG655420 AWK655420 AMO655420 ACS655420 SW655420 JA655420 E655420 WVM589884 WLQ589884 WBU589884 VRY589884 VIC589884 UYG589884 UOK589884 UEO589884 TUS589884 TKW589884 TBA589884 SRE589884 SHI589884 RXM589884 RNQ589884 RDU589884 QTY589884 QKC589884 QAG589884 PQK589884 PGO589884 OWS589884 OMW589884 ODA589884 NTE589884 NJI589884 MZM589884 MPQ589884 MFU589884 LVY589884 LMC589884 LCG589884 KSK589884 KIO589884 JYS589884 JOW589884 JFA589884 IVE589884 ILI589884 IBM589884 HRQ589884 HHU589884 GXY589884 GOC589884 GEG589884 FUK589884 FKO589884 FAS589884 EQW589884 EHA589884 DXE589884 DNI589884 DDM589884 CTQ589884 CJU589884 BZY589884 BQC589884 BGG589884 AWK589884 AMO589884 ACS589884 SW589884 JA589884 E589884 WVM524348 WLQ524348 WBU524348 VRY524348 VIC524348 UYG524348 UOK524348 UEO524348 TUS524348 TKW524348 TBA524348 SRE524348 SHI524348 RXM524348 RNQ524348 RDU524348 QTY524348 QKC524348 QAG524348 PQK524348 PGO524348 OWS524348 OMW524348 ODA524348 NTE524348 NJI524348 MZM524348 MPQ524348 MFU524348 LVY524348 LMC524348 LCG524348 KSK524348 KIO524348 JYS524348 JOW524348 JFA524348 IVE524348 ILI524348 IBM524348 HRQ524348 HHU524348 GXY524348 GOC524348 GEG524348 FUK524348 FKO524348 FAS524348 EQW524348 EHA524348 DXE524348 DNI524348 DDM524348 CTQ524348 CJU524348 BZY524348 BQC524348 BGG524348 AWK524348 AMO524348 ACS524348 SW524348 JA524348 E524348 WVM458812 WLQ458812 WBU458812 VRY458812 VIC458812 UYG458812 UOK458812 UEO458812 TUS458812 TKW458812 TBA458812 SRE458812 SHI458812 RXM458812 RNQ458812 RDU458812 QTY458812 QKC458812 QAG458812 PQK458812 PGO458812 OWS458812 OMW458812 ODA458812 NTE458812 NJI458812 MZM458812 MPQ458812 MFU458812 LVY458812 LMC458812 LCG458812 KSK458812 KIO458812 JYS458812 JOW458812 JFA458812 IVE458812 ILI458812 IBM458812 HRQ458812 HHU458812 GXY458812 GOC458812 GEG458812 FUK458812 FKO458812 FAS458812 EQW458812 EHA458812 DXE458812 DNI458812 DDM458812 CTQ458812 CJU458812 BZY458812 BQC458812 BGG458812 AWK458812 AMO458812 ACS458812 SW458812 JA458812 E458812 WVM393276 WLQ393276 WBU393276 VRY393276 VIC393276 UYG393276 UOK393276 UEO393276 TUS393276 TKW393276 TBA393276 SRE393276 SHI393276 RXM393276 RNQ393276 RDU393276 QTY393276 QKC393276 QAG393276 PQK393276 PGO393276 OWS393276 OMW393276 ODA393276 NTE393276 NJI393276 MZM393276 MPQ393276 MFU393276 LVY393276 LMC393276 LCG393276 KSK393276 KIO393276 JYS393276 JOW393276 JFA393276 IVE393276 ILI393276 IBM393276 HRQ393276 HHU393276 GXY393276 GOC393276 GEG393276 FUK393276 FKO393276 FAS393276 EQW393276 EHA393276 DXE393276 DNI393276 DDM393276 CTQ393276 CJU393276 BZY393276 BQC393276 BGG393276 AWK393276 AMO393276 ACS393276 SW393276 JA393276 E393276 WVM327740 WLQ327740 WBU327740 VRY327740 VIC327740 UYG327740 UOK327740 UEO327740 TUS327740 TKW327740 TBA327740 SRE327740 SHI327740 RXM327740 RNQ327740 RDU327740 QTY327740 QKC327740 QAG327740 PQK327740 PGO327740 OWS327740 OMW327740 ODA327740 NTE327740 NJI327740 MZM327740 MPQ327740 MFU327740 LVY327740 LMC327740 LCG327740 KSK327740 KIO327740 JYS327740 JOW327740 JFA327740 IVE327740 ILI327740 IBM327740 HRQ327740 HHU327740 GXY327740 GOC327740 GEG327740 FUK327740 FKO327740 FAS327740 EQW327740 EHA327740 DXE327740 DNI327740 DDM327740 CTQ327740 CJU327740 BZY327740 BQC327740 BGG327740 AWK327740 AMO327740 ACS327740 SW327740 JA327740 E327740 WVM262204 WLQ262204 WBU262204 VRY262204 VIC262204 UYG262204 UOK262204 UEO262204 TUS262204 TKW262204 TBA262204 SRE262204 SHI262204 RXM262204 RNQ262204 RDU262204 QTY262204 QKC262204 QAG262204 PQK262204 PGO262204 OWS262204 OMW262204 ODA262204 NTE262204 NJI262204 MZM262204 MPQ262204 MFU262204 LVY262204 LMC262204 LCG262204 KSK262204 KIO262204 JYS262204 JOW262204 JFA262204 IVE262204 ILI262204 IBM262204 HRQ262204 HHU262204 GXY262204 GOC262204 GEG262204 FUK262204 FKO262204 FAS262204 EQW262204 EHA262204 DXE262204 DNI262204 DDM262204 CTQ262204 CJU262204 BZY262204 BQC262204 BGG262204 AWK262204 AMO262204 ACS262204 SW262204 JA262204 E262204 WVM196668 WLQ196668 WBU196668 VRY196668 VIC196668 UYG196668 UOK196668 UEO196668 TUS196668 TKW196668 TBA196668 SRE196668 SHI196668 RXM196668 RNQ196668 RDU196668 QTY196668 QKC196668 QAG196668 PQK196668 PGO196668 OWS196668 OMW196668 ODA196668 NTE196668 NJI196668 MZM196668 MPQ196668 MFU196668 LVY196668 LMC196668 LCG196668 KSK196668 KIO196668 JYS196668 JOW196668 JFA196668 IVE196668 ILI196668 IBM196668 HRQ196668 HHU196668 GXY196668 GOC196668 GEG196668 FUK196668 FKO196668 FAS196668 EQW196668 EHA196668 DXE196668 DNI196668 DDM196668 CTQ196668 CJU196668 BZY196668 BQC196668 BGG196668 AWK196668 AMO196668 ACS196668 SW196668 JA196668 E196668 WVM131132 WLQ131132 WBU131132 VRY131132 VIC131132 UYG131132 UOK131132 UEO131132 TUS131132 TKW131132 TBA131132 SRE131132 SHI131132 RXM131132 RNQ131132 RDU131132 QTY131132 QKC131132 QAG131132 PQK131132 PGO131132 OWS131132 OMW131132 ODA131132 NTE131132 NJI131132 MZM131132 MPQ131132 MFU131132 LVY131132 LMC131132 LCG131132 KSK131132 KIO131132 JYS131132 JOW131132 JFA131132 IVE131132 ILI131132 IBM131132 HRQ131132 HHU131132 GXY131132 GOC131132 GEG131132 FUK131132 FKO131132 FAS131132 EQW131132 EHA131132 DXE131132 DNI131132 DDM131132 CTQ131132 CJU131132 BZY131132 BQC131132 BGG131132 AWK131132 AMO131132 ACS131132 SW131132 JA131132 E131132 WVM65596 WLQ65596 WBU65596 VRY65596 VIC65596 UYG65596 UOK65596 UEO65596 TUS65596 TKW65596 TBA65596 SRE65596 SHI65596 RXM65596 RNQ65596 RDU65596 QTY65596 QKC65596 QAG65596 PQK65596 PGO65596 OWS65596 OMW65596 ODA65596 NTE65596 NJI65596 MZM65596 MPQ65596 MFU65596 LVY65596 LMC65596 LCG65596 KSK65596 KIO65596 JYS65596 JOW65596 JFA65596 IVE65596 ILI65596 IBM65596 HRQ65596 HHU65596 GXY65596 GOC65596 GEG65596 FUK65596 FKO65596 FAS65596 EQW65596 EHA65596 DXE65596 DNI65596 DDM65596 CTQ65596 CJU65596 BZY65596 BQC65596 BGG65596 AWK65596 AMO65596 ACS65596 SW65596 JA65596 E65596 WVM60 WLQ60 WBU60 VRY60 VIC60 UYG60 UOK60 UEO60 TUS60 TKW60 TBA60 SRE60 SHI60 RXM60 RNQ60 RDU60 QTY60 QKC60 QAG60 PQK60 PGO60 OWS60 OMW60 ODA60 NTE60 NJI60 MZM60 MPQ60 MFU60 LVY60 LMC60 LCG60 KSK60 KIO60 JYS60 JOW60 JFA60 IVE60 ILI60 IBM60 HRQ60 HHU60 GXY60 GOC60 GEG60 FUK60 FKO60 FAS60 EQW60 EHA60 DXE60 DNI60 DDM60 CTQ60 CJU60 BZY60 BQC60 BGG60 AWK60 AMO60 ACS60 SW60 JA60 WVM983100 WVM983103 WLQ983103 WBU983103 VRY983103 VIC983103 UYG983103 UOK983103 UEO983103 TUS983103 TKW983103 TBA983103 SRE983103 SHI983103 RXM983103 RNQ983103 RDU983103 QTY983103 QKC983103 QAG983103 PQK983103 PGO983103 OWS983103 OMW983103 ODA983103 NTE983103 NJI983103 MZM983103 MPQ983103 MFU983103 LVY983103 LMC983103 LCG983103 KSK983103 KIO983103 JYS983103 JOW983103 JFA983103 IVE983103 ILI983103 IBM983103 HRQ983103 HHU983103 GXY983103 GOC983103 GEG983103 FUK983103 FKO983103 FAS983103 EQW983103 EHA983103 DXE983103 DNI983103 DDM983103 CTQ983103 CJU983103 BZY983103 BQC983103 BGG983103 AWK983103 AMO983103 ACS983103 SW983103 JA983103 E983103 WVM917567 WLQ917567 WBU917567 VRY917567 VIC917567 UYG917567 UOK917567 UEO917567 TUS917567 TKW917567 TBA917567 SRE917567 SHI917567 RXM917567 RNQ917567 RDU917567 QTY917567 QKC917567 QAG917567 PQK917567 PGO917567 OWS917567 OMW917567 ODA917567 NTE917567 NJI917567 MZM917567 MPQ917567 MFU917567 LVY917567 LMC917567 LCG917567 KSK917567 KIO917567 JYS917567 JOW917567 JFA917567 IVE917567 ILI917567 IBM917567 HRQ917567 HHU917567 GXY917567 GOC917567 GEG917567 FUK917567 FKO917567 FAS917567 EQW917567 EHA917567 DXE917567 DNI917567 DDM917567 CTQ917567 CJU917567 BZY917567 BQC917567 BGG917567 AWK917567 AMO917567 ACS917567 SW917567 JA917567 E917567 WVM852031 WLQ852031 WBU852031 VRY852031 VIC852031 UYG852031 UOK852031 UEO852031 TUS852031 TKW852031 TBA852031 SRE852031 SHI852031 RXM852031 RNQ852031 RDU852031 QTY852031 QKC852031 QAG852031 PQK852031 PGO852031 OWS852031 OMW852031 ODA852031 NTE852031 NJI852031 MZM852031 MPQ852031 MFU852031 LVY852031 LMC852031 LCG852031 KSK852031 KIO852031 JYS852031 JOW852031 JFA852031 IVE852031 ILI852031 IBM852031 HRQ852031 HHU852031 GXY852031 GOC852031 GEG852031 FUK852031 FKO852031 FAS852031 EQW852031 EHA852031 DXE852031 DNI852031 DDM852031 CTQ852031 CJU852031 BZY852031 BQC852031 BGG852031 AWK852031 AMO852031 ACS852031 SW852031 JA852031 E852031 WVM786495 WLQ786495 WBU786495 VRY786495 VIC786495 UYG786495 UOK786495 UEO786495 TUS786495 TKW786495 TBA786495 SRE786495 SHI786495 RXM786495 RNQ786495 RDU786495 QTY786495 QKC786495 QAG786495 PQK786495 PGO786495 OWS786495 OMW786495 ODA786495 NTE786495 NJI786495 MZM786495 MPQ786495 MFU786495 LVY786495 LMC786495 LCG786495 KSK786495 KIO786495 JYS786495 JOW786495 JFA786495 IVE786495 ILI786495 IBM786495 HRQ786495 HHU786495 GXY786495 GOC786495 GEG786495 FUK786495 FKO786495 FAS786495 EQW786495 EHA786495 DXE786495 DNI786495 DDM786495 CTQ786495 CJU786495 BZY786495 BQC786495 BGG786495 AWK786495 AMO786495 ACS786495 SW786495 JA786495 E786495 WVM720959 WLQ720959 WBU720959 VRY720959 VIC720959 UYG720959 UOK720959 UEO720959 TUS720959 TKW720959 TBA720959 SRE720959 SHI720959 RXM720959 RNQ720959 RDU720959 QTY720959 QKC720959 QAG720959 PQK720959 PGO720959 OWS720959 OMW720959 ODA720959 NTE720959 NJI720959 MZM720959 MPQ720959 MFU720959 LVY720959 LMC720959 LCG720959 KSK720959 KIO720959 JYS720959 JOW720959 JFA720959 IVE720959 ILI720959 IBM720959 HRQ720959 HHU720959 GXY720959 GOC720959 GEG720959 FUK720959 FKO720959 FAS720959 EQW720959 EHA720959 DXE720959 DNI720959 DDM720959 CTQ720959 CJU720959 BZY720959 BQC720959 BGG720959 AWK720959 AMO720959 ACS720959 SW720959 JA720959 E720959 WVM655423 WLQ655423 WBU655423 VRY655423 VIC655423 UYG655423 UOK655423 UEO655423 TUS655423 TKW655423 TBA655423 SRE655423 SHI655423 RXM655423 RNQ655423 RDU655423 QTY655423 QKC655423 QAG655423 PQK655423 PGO655423 OWS655423 OMW655423 ODA655423 NTE655423 NJI655423 MZM655423 MPQ655423 MFU655423 LVY655423 LMC655423 LCG655423 KSK655423 KIO655423 JYS655423 JOW655423 JFA655423 IVE655423 ILI655423 IBM655423 HRQ655423 HHU655423 GXY655423 GOC655423 GEG655423 FUK655423 FKO655423 FAS655423 EQW655423 EHA655423 DXE655423 DNI655423 DDM655423 CTQ655423 CJU655423 BZY655423 BQC655423 BGG655423 AWK655423 AMO655423 ACS655423 SW655423 JA655423 E655423 WVM589887 WLQ589887 WBU589887 VRY589887 VIC589887 UYG589887 UOK589887 UEO589887 TUS589887 TKW589887 TBA589887 SRE589887 SHI589887 RXM589887 RNQ589887 RDU589887 QTY589887 QKC589887 QAG589887 PQK589887 PGO589887 OWS589887 OMW589887 ODA589887 NTE589887 NJI589887 MZM589887 MPQ589887 MFU589887 LVY589887 LMC589887 LCG589887 KSK589887 KIO589887 JYS589887 JOW589887 JFA589887 IVE589887 ILI589887 IBM589887 HRQ589887 HHU589887 GXY589887 GOC589887 GEG589887 FUK589887 FKO589887 FAS589887 EQW589887 EHA589887 DXE589887 DNI589887 DDM589887 CTQ589887 CJU589887 BZY589887 BQC589887 BGG589887 AWK589887 AMO589887 ACS589887 SW589887 JA589887 E589887 WVM524351 WLQ524351 WBU524351 VRY524351 VIC524351 UYG524351 UOK524351 UEO524351 TUS524351 TKW524351 TBA524351 SRE524351 SHI524351 RXM524351 RNQ524351 RDU524351 QTY524351 QKC524351 QAG524351 PQK524351 PGO524351 OWS524351 OMW524351 ODA524351 NTE524351 NJI524351 MZM524351 MPQ524351 MFU524351 LVY524351 LMC524351 LCG524351 KSK524351 KIO524351 JYS524351 JOW524351 JFA524351 IVE524351 ILI524351 IBM524351 HRQ524351 HHU524351 GXY524351 GOC524351 GEG524351 FUK524351 FKO524351 FAS524351 EQW524351 EHA524351 DXE524351 DNI524351 DDM524351 CTQ524351 CJU524351 BZY524351 BQC524351 BGG524351 AWK524351 AMO524351 ACS524351 SW524351 JA524351 E524351 WVM458815 WLQ458815 WBU458815 VRY458815 VIC458815 UYG458815 UOK458815 UEO458815 TUS458815 TKW458815 TBA458815 SRE458815 SHI458815 RXM458815 RNQ458815 RDU458815 QTY458815 QKC458815 QAG458815 PQK458815 PGO458815 OWS458815 OMW458815 ODA458815 NTE458815 NJI458815 MZM458815 MPQ458815 MFU458815 LVY458815 LMC458815 LCG458815 KSK458815 KIO458815 JYS458815 JOW458815 JFA458815 IVE458815 ILI458815 IBM458815 HRQ458815 HHU458815 GXY458815 GOC458815 GEG458815 FUK458815 FKO458815 FAS458815 EQW458815 EHA458815 DXE458815 DNI458815 DDM458815 CTQ458815 CJU458815 BZY458815 BQC458815 BGG458815 AWK458815 AMO458815 ACS458815 SW458815 JA458815 E458815 WVM393279 WLQ393279 WBU393279 VRY393279 VIC393279 UYG393279 UOK393279 UEO393279 TUS393279 TKW393279 TBA393279 SRE393279 SHI393279 RXM393279 RNQ393279 RDU393279 QTY393279 QKC393279 QAG393279 PQK393279 PGO393279 OWS393279 OMW393279 ODA393279 NTE393279 NJI393279 MZM393279 MPQ393279 MFU393279 LVY393279 LMC393279 LCG393279 KSK393279 KIO393279 JYS393279 JOW393279 JFA393279 IVE393279 ILI393279 IBM393279 HRQ393279 HHU393279 GXY393279 GOC393279 GEG393279 FUK393279 FKO393279 FAS393279 EQW393279 EHA393279 DXE393279 DNI393279 DDM393279 CTQ393279 CJU393279 BZY393279 BQC393279 BGG393279 AWK393279 AMO393279 ACS393279 SW393279 JA393279 E393279 WVM327743 WLQ327743 WBU327743 VRY327743 VIC327743 UYG327743 UOK327743 UEO327743 TUS327743 TKW327743 TBA327743 SRE327743 SHI327743 RXM327743 RNQ327743 RDU327743 QTY327743 QKC327743 QAG327743 PQK327743 PGO327743 OWS327743 OMW327743 ODA327743 NTE327743 NJI327743 MZM327743 MPQ327743 MFU327743 LVY327743 LMC327743 LCG327743 KSK327743 KIO327743 JYS327743 JOW327743 JFA327743 IVE327743 ILI327743 IBM327743 HRQ327743 HHU327743 GXY327743 GOC327743 GEG327743 FUK327743 FKO327743 FAS327743 EQW327743 EHA327743 DXE327743 DNI327743 DDM327743 CTQ327743 CJU327743 BZY327743 BQC327743 BGG327743 AWK327743 AMO327743 ACS327743 SW327743 JA327743 E327743 WVM262207 WLQ262207 WBU262207 VRY262207 VIC262207 UYG262207 UOK262207 UEO262207 TUS262207 TKW262207 TBA262207 SRE262207 SHI262207 RXM262207 RNQ262207 RDU262207 QTY262207 QKC262207 QAG262207 PQK262207 PGO262207 OWS262207 OMW262207 ODA262207 NTE262207 NJI262207 MZM262207 MPQ262207 MFU262207 LVY262207 LMC262207 LCG262207 KSK262207 KIO262207 JYS262207 JOW262207 JFA262207 IVE262207 ILI262207 IBM262207 HRQ262207 HHU262207 GXY262207 GOC262207 GEG262207 FUK262207 FKO262207 FAS262207 EQW262207 EHA262207 DXE262207 DNI262207 DDM262207 CTQ262207 CJU262207 BZY262207 BQC262207 BGG262207 AWK262207 AMO262207 ACS262207 SW262207 JA262207 E262207 WVM196671 WLQ196671 WBU196671 VRY196671 VIC196671 UYG196671 UOK196671 UEO196671 TUS196671 TKW196671 TBA196671 SRE196671 SHI196671 RXM196671 RNQ196671 RDU196671 QTY196671 QKC196671 QAG196671 PQK196671 PGO196671 OWS196671 OMW196671 ODA196671 NTE196671 NJI196671 MZM196671 MPQ196671 MFU196671 LVY196671 LMC196671 LCG196671 KSK196671 KIO196671 JYS196671 JOW196671 JFA196671 IVE196671 ILI196671 IBM196671 HRQ196671 HHU196671 GXY196671 GOC196671 GEG196671 FUK196671 FKO196671 FAS196671 EQW196671 EHA196671 DXE196671 DNI196671 DDM196671 CTQ196671 CJU196671 BZY196671 BQC196671 BGG196671 AWK196671 AMO196671 ACS196671 SW196671 JA196671 E196671 WVM131135 WLQ131135 WBU131135 VRY131135 VIC131135 UYG131135 UOK131135 UEO131135 TUS131135 TKW131135 TBA131135 SRE131135 SHI131135 RXM131135 RNQ131135 RDU131135 QTY131135 QKC131135 QAG131135 PQK131135 PGO131135 OWS131135 OMW131135 ODA131135 NTE131135 NJI131135 MZM131135 MPQ131135 MFU131135 LVY131135 LMC131135 LCG131135 KSK131135 KIO131135 JYS131135 JOW131135 JFA131135 IVE131135 ILI131135 IBM131135 HRQ131135 HHU131135 GXY131135 GOC131135 GEG131135 FUK131135 FKO131135 FAS131135 EQW131135 EHA131135 DXE131135 DNI131135 DDM131135 CTQ131135 CJU131135 BZY131135 BQC131135 BGG131135 AWK131135 AMO131135 ACS131135 SW131135 JA131135 E131135 WVM65599 WLQ65599 WBU65599 VRY65599 VIC65599 UYG65599 UOK65599 UEO65599 TUS65599 TKW65599 TBA65599 SRE65599 SHI65599 RXM65599 RNQ65599 RDU65599 QTY65599 QKC65599 QAG65599 PQK65599 PGO65599 OWS65599 OMW65599 ODA65599 NTE65599 NJI65599 MZM65599 MPQ65599 MFU65599 LVY65599 LMC65599 LCG65599 KSK65599 KIO65599 JYS65599 JOW65599 JFA65599 IVE65599 ILI65599 IBM65599 HRQ65599 HHU65599 GXY65599 GOC65599 GEG65599 FUK65599 FKO65599 FAS65599 EQW65599 EHA65599 DXE65599 DNI65599 DDM65599 CTQ65599 CJU65599 BZY65599 BQC65599 BGG65599 AWK65599 AMO65599 ACS65599 SW65599 JA65599 E65599 WVM63 WLQ63 WBU63 VRY63 VIC63 UYG63 UOK63 UEO63 TUS63 TKW63 TBA63 SRE63 SHI63 RXM63 RNQ63 RDU63 QTY63 QKC63 QAG63 PQK63 PGO63 OWS63 OMW63 ODA63 NTE63 NJI63 MZM63 MPQ63 MFU63 LVY63 LMC63 LCG63 KSK63 KIO63 JYS63 JOW63 JFA63 IVE63 ILI63 IBM63 HRQ63 HHU63 GXY63 GOC63 GEG63 FUK63 FKO63 FAS63 EQW63 EHA63 DXE63 DNI63 DDM63 CTQ63 CJU63 BZY63 BQC63 BGG63 AWK63 AMO63 ACS63 SW63 JA63 WLQ983100 WVN983090:WVN983521 WLR983090:WLR983521 WBV983090:WBV983521 VRZ983090:VRZ983521 VID983090:VID983521 UYH983090:UYH983521 UOL983090:UOL983521 UEP983090:UEP983521 TUT983090:TUT983521 TKX983090:TKX983521 TBB983090:TBB983521 SRF983090:SRF983521 SHJ983090:SHJ983521 RXN983090:RXN983521 RNR983090:RNR983521 RDV983090:RDV983521 QTZ983090:QTZ983521 QKD983090:QKD983521 QAH983090:QAH983521 PQL983090:PQL983521 PGP983090:PGP983521 OWT983090:OWT983521 OMX983090:OMX983521 ODB983090:ODB983521 NTF983090:NTF983521 NJJ983090:NJJ983521 MZN983090:MZN983521 MPR983090:MPR983521 MFV983090:MFV983521 LVZ983090:LVZ983521 LMD983090:LMD983521 LCH983090:LCH983521 KSL983090:KSL983521 KIP983090:KIP983521 JYT983090:JYT983521 JOX983090:JOX983521 JFB983090:JFB983521 IVF983090:IVF983521 ILJ983090:ILJ983521 IBN983090:IBN983521 HRR983090:HRR983521 HHV983090:HHV983521 GXZ983090:GXZ983521 GOD983090:GOD983521 GEH983090:GEH983521 FUL983090:FUL983521 FKP983090:FKP983521 FAT983090:FAT983521 EQX983090:EQX983521 EHB983090:EHB983521 DXF983090:DXF983521 DNJ983090:DNJ983521 DDN983090:DDN983521 CTR983090:CTR983521 CJV983090:CJV983521 BZZ983090:BZZ983521 BQD983090:BQD983521 BGH983090:BGH983521 AWL983090:AWL983521 AMP983090:AMP983521 ACT983090:ACT983521 SX983090:SX983521 JB983090:JB983521 F983090:F983521 WVN917554:WVN917985 WLR917554:WLR917985 WBV917554:WBV917985 VRZ917554:VRZ917985 VID917554:VID917985 UYH917554:UYH917985 UOL917554:UOL917985 UEP917554:UEP917985 TUT917554:TUT917985 TKX917554:TKX917985 TBB917554:TBB917985 SRF917554:SRF917985 SHJ917554:SHJ917985 RXN917554:RXN917985 RNR917554:RNR917985 RDV917554:RDV917985 QTZ917554:QTZ917985 QKD917554:QKD917985 QAH917554:QAH917985 PQL917554:PQL917985 PGP917554:PGP917985 OWT917554:OWT917985 OMX917554:OMX917985 ODB917554:ODB917985 NTF917554:NTF917985 NJJ917554:NJJ917985 MZN917554:MZN917985 MPR917554:MPR917985 MFV917554:MFV917985 LVZ917554:LVZ917985 LMD917554:LMD917985 LCH917554:LCH917985 KSL917554:KSL917985 KIP917554:KIP917985 JYT917554:JYT917985 JOX917554:JOX917985 JFB917554:JFB917985 IVF917554:IVF917985 ILJ917554:ILJ917985 IBN917554:IBN917985 HRR917554:HRR917985 HHV917554:HHV917985 GXZ917554:GXZ917985 GOD917554:GOD917985 GEH917554:GEH917985 FUL917554:FUL917985 FKP917554:FKP917985 FAT917554:FAT917985 EQX917554:EQX917985 EHB917554:EHB917985 DXF917554:DXF917985 DNJ917554:DNJ917985 DDN917554:DDN917985 CTR917554:CTR917985 CJV917554:CJV917985 BZZ917554:BZZ917985 BQD917554:BQD917985 BGH917554:BGH917985 AWL917554:AWL917985 AMP917554:AMP917985 ACT917554:ACT917985 SX917554:SX917985 JB917554:JB917985 F917554:F917985 WVN852018:WVN852449 WLR852018:WLR852449 WBV852018:WBV852449 VRZ852018:VRZ852449 VID852018:VID852449 UYH852018:UYH852449 UOL852018:UOL852449 UEP852018:UEP852449 TUT852018:TUT852449 TKX852018:TKX852449 TBB852018:TBB852449 SRF852018:SRF852449 SHJ852018:SHJ852449 RXN852018:RXN852449 RNR852018:RNR852449 RDV852018:RDV852449 QTZ852018:QTZ852449 QKD852018:QKD852449 QAH852018:QAH852449 PQL852018:PQL852449 PGP852018:PGP852449 OWT852018:OWT852449 OMX852018:OMX852449 ODB852018:ODB852449 NTF852018:NTF852449 NJJ852018:NJJ852449 MZN852018:MZN852449 MPR852018:MPR852449 MFV852018:MFV852449 LVZ852018:LVZ852449 LMD852018:LMD852449 LCH852018:LCH852449 KSL852018:KSL852449 KIP852018:KIP852449 JYT852018:JYT852449 JOX852018:JOX852449 JFB852018:JFB852449 IVF852018:IVF852449 ILJ852018:ILJ852449 IBN852018:IBN852449 HRR852018:HRR852449 HHV852018:HHV852449 GXZ852018:GXZ852449 GOD852018:GOD852449 GEH852018:GEH852449 FUL852018:FUL852449 FKP852018:FKP852449 FAT852018:FAT852449 EQX852018:EQX852449 EHB852018:EHB852449 DXF852018:DXF852449 DNJ852018:DNJ852449 DDN852018:DDN852449 CTR852018:CTR852449 CJV852018:CJV852449 BZZ852018:BZZ852449 BQD852018:BQD852449 BGH852018:BGH852449 AWL852018:AWL852449 AMP852018:AMP852449 ACT852018:ACT852449 SX852018:SX852449 JB852018:JB852449 F852018:F852449 WVN786482:WVN786913 WLR786482:WLR786913 WBV786482:WBV786913 VRZ786482:VRZ786913 VID786482:VID786913 UYH786482:UYH786913 UOL786482:UOL786913 UEP786482:UEP786913 TUT786482:TUT786913 TKX786482:TKX786913 TBB786482:TBB786913 SRF786482:SRF786913 SHJ786482:SHJ786913 RXN786482:RXN786913 RNR786482:RNR786913 RDV786482:RDV786913 QTZ786482:QTZ786913 QKD786482:QKD786913 QAH786482:QAH786913 PQL786482:PQL786913 PGP786482:PGP786913 OWT786482:OWT786913 OMX786482:OMX786913 ODB786482:ODB786913 NTF786482:NTF786913 NJJ786482:NJJ786913 MZN786482:MZN786913 MPR786482:MPR786913 MFV786482:MFV786913 LVZ786482:LVZ786913 LMD786482:LMD786913 LCH786482:LCH786913 KSL786482:KSL786913 KIP786482:KIP786913 JYT786482:JYT786913 JOX786482:JOX786913 JFB786482:JFB786913 IVF786482:IVF786913 ILJ786482:ILJ786913 IBN786482:IBN786913 HRR786482:HRR786913 HHV786482:HHV786913 GXZ786482:GXZ786913 GOD786482:GOD786913 GEH786482:GEH786913 FUL786482:FUL786913 FKP786482:FKP786913 FAT786482:FAT786913 EQX786482:EQX786913 EHB786482:EHB786913 DXF786482:DXF786913 DNJ786482:DNJ786913 DDN786482:DDN786913 CTR786482:CTR786913 CJV786482:CJV786913 BZZ786482:BZZ786913 BQD786482:BQD786913 BGH786482:BGH786913 AWL786482:AWL786913 AMP786482:AMP786913 ACT786482:ACT786913 SX786482:SX786913 JB786482:JB786913 F786482:F786913 WVN720946:WVN721377 WLR720946:WLR721377 WBV720946:WBV721377 VRZ720946:VRZ721377 VID720946:VID721377 UYH720946:UYH721377 UOL720946:UOL721377 UEP720946:UEP721377 TUT720946:TUT721377 TKX720946:TKX721377 TBB720946:TBB721377 SRF720946:SRF721377 SHJ720946:SHJ721377 RXN720946:RXN721377 RNR720946:RNR721377 RDV720946:RDV721377 QTZ720946:QTZ721377 QKD720946:QKD721377 QAH720946:QAH721377 PQL720946:PQL721377 PGP720946:PGP721377 OWT720946:OWT721377 OMX720946:OMX721377 ODB720946:ODB721377 NTF720946:NTF721377 NJJ720946:NJJ721377 MZN720946:MZN721377 MPR720946:MPR721377 MFV720946:MFV721377 LVZ720946:LVZ721377 LMD720946:LMD721377 LCH720946:LCH721377 KSL720946:KSL721377 KIP720946:KIP721377 JYT720946:JYT721377 JOX720946:JOX721377 JFB720946:JFB721377 IVF720946:IVF721377 ILJ720946:ILJ721377 IBN720946:IBN721377 HRR720946:HRR721377 HHV720946:HHV721377 GXZ720946:GXZ721377 GOD720946:GOD721377 GEH720946:GEH721377 FUL720946:FUL721377 FKP720946:FKP721377 FAT720946:FAT721377 EQX720946:EQX721377 EHB720946:EHB721377 DXF720946:DXF721377 DNJ720946:DNJ721377 DDN720946:DDN721377 CTR720946:CTR721377 CJV720946:CJV721377 BZZ720946:BZZ721377 BQD720946:BQD721377 BGH720946:BGH721377 AWL720946:AWL721377 AMP720946:AMP721377 ACT720946:ACT721377 SX720946:SX721377 JB720946:JB721377 F720946:F721377 WVN655410:WVN655841 WLR655410:WLR655841 WBV655410:WBV655841 VRZ655410:VRZ655841 VID655410:VID655841 UYH655410:UYH655841 UOL655410:UOL655841 UEP655410:UEP655841 TUT655410:TUT655841 TKX655410:TKX655841 TBB655410:TBB655841 SRF655410:SRF655841 SHJ655410:SHJ655841 RXN655410:RXN655841 RNR655410:RNR655841 RDV655410:RDV655841 QTZ655410:QTZ655841 QKD655410:QKD655841 QAH655410:QAH655841 PQL655410:PQL655841 PGP655410:PGP655841 OWT655410:OWT655841 OMX655410:OMX655841 ODB655410:ODB655841 NTF655410:NTF655841 NJJ655410:NJJ655841 MZN655410:MZN655841 MPR655410:MPR655841 MFV655410:MFV655841 LVZ655410:LVZ655841 LMD655410:LMD655841 LCH655410:LCH655841 KSL655410:KSL655841 KIP655410:KIP655841 JYT655410:JYT655841 JOX655410:JOX655841 JFB655410:JFB655841 IVF655410:IVF655841 ILJ655410:ILJ655841 IBN655410:IBN655841 HRR655410:HRR655841 HHV655410:HHV655841 GXZ655410:GXZ655841 GOD655410:GOD655841 GEH655410:GEH655841 FUL655410:FUL655841 FKP655410:FKP655841 FAT655410:FAT655841 EQX655410:EQX655841 EHB655410:EHB655841 DXF655410:DXF655841 DNJ655410:DNJ655841 DDN655410:DDN655841 CTR655410:CTR655841 CJV655410:CJV655841 BZZ655410:BZZ655841 BQD655410:BQD655841 BGH655410:BGH655841 AWL655410:AWL655841 AMP655410:AMP655841 ACT655410:ACT655841 SX655410:SX655841 JB655410:JB655841 F655410:F655841 WVN589874:WVN590305 WLR589874:WLR590305 WBV589874:WBV590305 VRZ589874:VRZ590305 VID589874:VID590305 UYH589874:UYH590305 UOL589874:UOL590305 UEP589874:UEP590305 TUT589874:TUT590305 TKX589874:TKX590305 TBB589874:TBB590305 SRF589874:SRF590305 SHJ589874:SHJ590305 RXN589874:RXN590305 RNR589874:RNR590305 RDV589874:RDV590305 QTZ589874:QTZ590305 QKD589874:QKD590305 QAH589874:QAH590305 PQL589874:PQL590305 PGP589874:PGP590305 OWT589874:OWT590305 OMX589874:OMX590305 ODB589874:ODB590305 NTF589874:NTF590305 NJJ589874:NJJ590305 MZN589874:MZN590305 MPR589874:MPR590305 MFV589874:MFV590305 LVZ589874:LVZ590305 LMD589874:LMD590305 LCH589874:LCH590305 KSL589874:KSL590305 KIP589874:KIP590305 JYT589874:JYT590305 JOX589874:JOX590305 JFB589874:JFB590305 IVF589874:IVF590305 ILJ589874:ILJ590305 IBN589874:IBN590305 HRR589874:HRR590305 HHV589874:HHV590305 GXZ589874:GXZ590305 GOD589874:GOD590305 GEH589874:GEH590305 FUL589874:FUL590305 FKP589874:FKP590305 FAT589874:FAT590305 EQX589874:EQX590305 EHB589874:EHB590305 DXF589874:DXF590305 DNJ589874:DNJ590305 DDN589874:DDN590305 CTR589874:CTR590305 CJV589874:CJV590305 BZZ589874:BZZ590305 BQD589874:BQD590305 BGH589874:BGH590305 AWL589874:AWL590305 AMP589874:AMP590305 ACT589874:ACT590305 SX589874:SX590305 JB589874:JB590305 F589874:F590305 WVN524338:WVN524769 WLR524338:WLR524769 WBV524338:WBV524769 VRZ524338:VRZ524769 VID524338:VID524769 UYH524338:UYH524769 UOL524338:UOL524769 UEP524338:UEP524769 TUT524338:TUT524769 TKX524338:TKX524769 TBB524338:TBB524769 SRF524338:SRF524769 SHJ524338:SHJ524769 RXN524338:RXN524769 RNR524338:RNR524769 RDV524338:RDV524769 QTZ524338:QTZ524769 QKD524338:QKD524769 QAH524338:QAH524769 PQL524338:PQL524769 PGP524338:PGP524769 OWT524338:OWT524769 OMX524338:OMX524769 ODB524338:ODB524769 NTF524338:NTF524769 NJJ524338:NJJ524769 MZN524338:MZN524769 MPR524338:MPR524769 MFV524338:MFV524769 LVZ524338:LVZ524769 LMD524338:LMD524769 LCH524338:LCH524769 KSL524338:KSL524769 KIP524338:KIP524769 JYT524338:JYT524769 JOX524338:JOX524769 JFB524338:JFB524769 IVF524338:IVF524769 ILJ524338:ILJ524769 IBN524338:IBN524769 HRR524338:HRR524769 HHV524338:HHV524769 GXZ524338:GXZ524769 GOD524338:GOD524769 GEH524338:GEH524769 FUL524338:FUL524769 FKP524338:FKP524769 FAT524338:FAT524769 EQX524338:EQX524769 EHB524338:EHB524769 DXF524338:DXF524769 DNJ524338:DNJ524769 DDN524338:DDN524769 CTR524338:CTR524769 CJV524338:CJV524769 BZZ524338:BZZ524769 BQD524338:BQD524769 BGH524338:BGH524769 AWL524338:AWL524769 AMP524338:AMP524769 ACT524338:ACT524769 SX524338:SX524769 JB524338:JB524769 F524338:F524769 WVN458802:WVN459233 WLR458802:WLR459233 WBV458802:WBV459233 VRZ458802:VRZ459233 VID458802:VID459233 UYH458802:UYH459233 UOL458802:UOL459233 UEP458802:UEP459233 TUT458802:TUT459233 TKX458802:TKX459233 TBB458802:TBB459233 SRF458802:SRF459233 SHJ458802:SHJ459233 RXN458802:RXN459233 RNR458802:RNR459233 RDV458802:RDV459233 QTZ458802:QTZ459233 QKD458802:QKD459233 QAH458802:QAH459233 PQL458802:PQL459233 PGP458802:PGP459233 OWT458802:OWT459233 OMX458802:OMX459233 ODB458802:ODB459233 NTF458802:NTF459233 NJJ458802:NJJ459233 MZN458802:MZN459233 MPR458802:MPR459233 MFV458802:MFV459233 LVZ458802:LVZ459233 LMD458802:LMD459233 LCH458802:LCH459233 KSL458802:KSL459233 KIP458802:KIP459233 JYT458802:JYT459233 JOX458802:JOX459233 JFB458802:JFB459233 IVF458802:IVF459233 ILJ458802:ILJ459233 IBN458802:IBN459233 HRR458802:HRR459233 HHV458802:HHV459233 GXZ458802:GXZ459233 GOD458802:GOD459233 GEH458802:GEH459233 FUL458802:FUL459233 FKP458802:FKP459233 FAT458802:FAT459233 EQX458802:EQX459233 EHB458802:EHB459233 DXF458802:DXF459233 DNJ458802:DNJ459233 DDN458802:DDN459233 CTR458802:CTR459233 CJV458802:CJV459233 BZZ458802:BZZ459233 BQD458802:BQD459233 BGH458802:BGH459233 AWL458802:AWL459233 AMP458802:AMP459233 ACT458802:ACT459233 SX458802:SX459233 JB458802:JB459233 F458802:F459233 WVN393266:WVN393697 WLR393266:WLR393697 WBV393266:WBV393697 VRZ393266:VRZ393697 VID393266:VID393697 UYH393266:UYH393697 UOL393266:UOL393697 UEP393266:UEP393697 TUT393266:TUT393697 TKX393266:TKX393697 TBB393266:TBB393697 SRF393266:SRF393697 SHJ393266:SHJ393697 RXN393266:RXN393697 RNR393266:RNR393697 RDV393266:RDV393697 QTZ393266:QTZ393697 QKD393266:QKD393697 QAH393266:QAH393697 PQL393266:PQL393697 PGP393266:PGP393697 OWT393266:OWT393697 OMX393266:OMX393697 ODB393266:ODB393697 NTF393266:NTF393697 NJJ393266:NJJ393697 MZN393266:MZN393697 MPR393266:MPR393697 MFV393266:MFV393697 LVZ393266:LVZ393697 LMD393266:LMD393697 LCH393266:LCH393697 KSL393266:KSL393697 KIP393266:KIP393697 JYT393266:JYT393697 JOX393266:JOX393697 JFB393266:JFB393697 IVF393266:IVF393697 ILJ393266:ILJ393697 IBN393266:IBN393697 HRR393266:HRR393697 HHV393266:HHV393697 GXZ393266:GXZ393697 GOD393266:GOD393697 GEH393266:GEH393697 FUL393266:FUL393697 FKP393266:FKP393697 FAT393266:FAT393697 EQX393266:EQX393697 EHB393266:EHB393697 DXF393266:DXF393697 DNJ393266:DNJ393697 DDN393266:DDN393697 CTR393266:CTR393697 CJV393266:CJV393697 BZZ393266:BZZ393697 BQD393266:BQD393697 BGH393266:BGH393697 AWL393266:AWL393697 AMP393266:AMP393697 ACT393266:ACT393697 SX393266:SX393697 JB393266:JB393697 F393266:F393697 WVN327730:WVN328161 WLR327730:WLR328161 WBV327730:WBV328161 VRZ327730:VRZ328161 VID327730:VID328161 UYH327730:UYH328161 UOL327730:UOL328161 UEP327730:UEP328161 TUT327730:TUT328161 TKX327730:TKX328161 TBB327730:TBB328161 SRF327730:SRF328161 SHJ327730:SHJ328161 RXN327730:RXN328161 RNR327730:RNR328161 RDV327730:RDV328161 QTZ327730:QTZ328161 QKD327730:QKD328161 QAH327730:QAH328161 PQL327730:PQL328161 PGP327730:PGP328161 OWT327730:OWT328161 OMX327730:OMX328161 ODB327730:ODB328161 NTF327730:NTF328161 NJJ327730:NJJ328161 MZN327730:MZN328161 MPR327730:MPR328161 MFV327730:MFV328161 LVZ327730:LVZ328161 LMD327730:LMD328161 LCH327730:LCH328161 KSL327730:KSL328161 KIP327730:KIP328161 JYT327730:JYT328161 JOX327730:JOX328161 JFB327730:JFB328161 IVF327730:IVF328161 ILJ327730:ILJ328161 IBN327730:IBN328161 HRR327730:HRR328161 HHV327730:HHV328161 GXZ327730:GXZ328161 GOD327730:GOD328161 GEH327730:GEH328161 FUL327730:FUL328161 FKP327730:FKP328161 FAT327730:FAT328161 EQX327730:EQX328161 EHB327730:EHB328161 DXF327730:DXF328161 DNJ327730:DNJ328161 DDN327730:DDN328161 CTR327730:CTR328161 CJV327730:CJV328161 BZZ327730:BZZ328161 BQD327730:BQD328161 BGH327730:BGH328161 AWL327730:AWL328161 AMP327730:AMP328161 ACT327730:ACT328161 SX327730:SX328161 JB327730:JB328161 F327730:F328161 WVN262194:WVN262625 WLR262194:WLR262625 WBV262194:WBV262625 VRZ262194:VRZ262625 VID262194:VID262625 UYH262194:UYH262625 UOL262194:UOL262625 UEP262194:UEP262625 TUT262194:TUT262625 TKX262194:TKX262625 TBB262194:TBB262625 SRF262194:SRF262625 SHJ262194:SHJ262625 RXN262194:RXN262625 RNR262194:RNR262625 RDV262194:RDV262625 QTZ262194:QTZ262625 QKD262194:QKD262625 QAH262194:QAH262625 PQL262194:PQL262625 PGP262194:PGP262625 OWT262194:OWT262625 OMX262194:OMX262625 ODB262194:ODB262625 NTF262194:NTF262625 NJJ262194:NJJ262625 MZN262194:MZN262625 MPR262194:MPR262625 MFV262194:MFV262625 LVZ262194:LVZ262625 LMD262194:LMD262625 LCH262194:LCH262625 KSL262194:KSL262625 KIP262194:KIP262625 JYT262194:JYT262625 JOX262194:JOX262625 JFB262194:JFB262625 IVF262194:IVF262625 ILJ262194:ILJ262625 IBN262194:IBN262625 HRR262194:HRR262625 HHV262194:HHV262625 GXZ262194:GXZ262625 GOD262194:GOD262625 GEH262194:GEH262625 FUL262194:FUL262625 FKP262194:FKP262625 FAT262194:FAT262625 EQX262194:EQX262625 EHB262194:EHB262625 DXF262194:DXF262625 DNJ262194:DNJ262625 DDN262194:DDN262625 CTR262194:CTR262625 CJV262194:CJV262625 BZZ262194:BZZ262625 BQD262194:BQD262625 BGH262194:BGH262625 AWL262194:AWL262625 AMP262194:AMP262625 ACT262194:ACT262625 SX262194:SX262625 JB262194:JB262625 F262194:F262625 WVN196658:WVN197089 WLR196658:WLR197089 WBV196658:WBV197089 VRZ196658:VRZ197089 VID196658:VID197089 UYH196658:UYH197089 UOL196658:UOL197089 UEP196658:UEP197089 TUT196658:TUT197089 TKX196658:TKX197089 TBB196658:TBB197089 SRF196658:SRF197089 SHJ196658:SHJ197089 RXN196658:RXN197089 RNR196658:RNR197089 RDV196658:RDV197089 QTZ196658:QTZ197089 QKD196658:QKD197089 QAH196658:QAH197089 PQL196658:PQL197089 PGP196658:PGP197089 OWT196658:OWT197089 OMX196658:OMX197089 ODB196658:ODB197089 NTF196658:NTF197089 NJJ196658:NJJ197089 MZN196658:MZN197089 MPR196658:MPR197089 MFV196658:MFV197089 LVZ196658:LVZ197089 LMD196658:LMD197089 LCH196658:LCH197089 KSL196658:KSL197089 KIP196658:KIP197089 JYT196658:JYT197089 JOX196658:JOX197089 JFB196658:JFB197089 IVF196658:IVF197089 ILJ196658:ILJ197089 IBN196658:IBN197089 HRR196658:HRR197089 HHV196658:HHV197089 GXZ196658:GXZ197089 GOD196658:GOD197089 GEH196658:GEH197089 FUL196658:FUL197089 FKP196658:FKP197089 FAT196658:FAT197089 EQX196658:EQX197089 EHB196658:EHB197089 DXF196658:DXF197089 DNJ196658:DNJ197089 DDN196658:DDN197089 CTR196658:CTR197089 CJV196658:CJV197089 BZZ196658:BZZ197089 BQD196658:BQD197089 BGH196658:BGH197089 AWL196658:AWL197089 AMP196658:AMP197089 ACT196658:ACT197089 SX196658:SX197089 JB196658:JB197089 F196658:F197089 WVN131122:WVN131553 WLR131122:WLR131553 WBV131122:WBV131553 VRZ131122:VRZ131553 VID131122:VID131553 UYH131122:UYH131553 UOL131122:UOL131553 UEP131122:UEP131553 TUT131122:TUT131553 TKX131122:TKX131553 TBB131122:TBB131553 SRF131122:SRF131553 SHJ131122:SHJ131553 RXN131122:RXN131553 RNR131122:RNR131553 RDV131122:RDV131553 QTZ131122:QTZ131553 QKD131122:QKD131553 QAH131122:QAH131553 PQL131122:PQL131553 PGP131122:PGP131553 OWT131122:OWT131553 OMX131122:OMX131553 ODB131122:ODB131553 NTF131122:NTF131553 NJJ131122:NJJ131553 MZN131122:MZN131553 MPR131122:MPR131553 MFV131122:MFV131553 LVZ131122:LVZ131553 LMD131122:LMD131553 LCH131122:LCH131553 KSL131122:KSL131553 KIP131122:KIP131553 JYT131122:JYT131553 JOX131122:JOX131553 JFB131122:JFB131553 IVF131122:IVF131553 ILJ131122:ILJ131553 IBN131122:IBN131553 HRR131122:HRR131553 HHV131122:HHV131553 GXZ131122:GXZ131553 GOD131122:GOD131553 GEH131122:GEH131553 FUL131122:FUL131553 FKP131122:FKP131553 FAT131122:FAT131553 EQX131122:EQX131553 EHB131122:EHB131553 DXF131122:DXF131553 DNJ131122:DNJ131553 DDN131122:DDN131553 CTR131122:CTR131553 CJV131122:CJV131553 BZZ131122:BZZ131553 BQD131122:BQD131553 BGH131122:BGH131553 AWL131122:AWL131553 AMP131122:AMP131553 ACT131122:ACT131553 SX131122:SX131553 JB131122:JB131553 F131122:F131553 WVN65586:WVN66017 WLR65586:WLR66017 WBV65586:WBV66017 VRZ65586:VRZ66017 VID65586:VID66017 UYH65586:UYH66017 UOL65586:UOL66017 UEP65586:UEP66017 TUT65586:TUT66017 TKX65586:TKX66017 TBB65586:TBB66017 SRF65586:SRF66017 SHJ65586:SHJ66017 RXN65586:RXN66017 RNR65586:RNR66017 RDV65586:RDV66017 QTZ65586:QTZ66017 QKD65586:QKD66017 QAH65586:QAH66017 PQL65586:PQL66017 PGP65586:PGP66017 OWT65586:OWT66017 OMX65586:OMX66017 ODB65586:ODB66017 NTF65586:NTF66017 NJJ65586:NJJ66017 MZN65586:MZN66017 MPR65586:MPR66017 MFV65586:MFV66017 LVZ65586:LVZ66017 LMD65586:LMD66017 LCH65586:LCH66017 KSL65586:KSL66017 KIP65586:KIP66017 JYT65586:JYT66017 JOX65586:JOX66017 JFB65586:JFB66017 IVF65586:IVF66017 ILJ65586:ILJ66017 IBN65586:IBN66017 HRR65586:HRR66017 HHV65586:HHV66017 GXZ65586:GXZ66017 GOD65586:GOD66017 GEH65586:GEH66017 FUL65586:FUL66017 FKP65586:FKP66017 FAT65586:FAT66017 EQX65586:EQX66017 EHB65586:EHB66017 DXF65586:DXF66017 DNJ65586:DNJ66017 DDN65586:DDN66017 CTR65586:CTR66017 CJV65586:CJV66017 BZZ65586:BZZ66017 BQD65586:BQD66017 BGH65586:BGH66017 AWL65586:AWL66017 AMP65586:AMP66017 ACT65586:ACT66017 SX65586:SX66017 JB65586:JB66017 F65586:F66017 WVN50:WVN481 WLR50:WLR481 WBV50:WBV481 VRZ50:VRZ481 VID50:VID481 UYH50:UYH481 UOL50:UOL481 UEP50:UEP481 TUT50:TUT481 TKX50:TKX481 TBB50:TBB481 SRF50:SRF481 SHJ50:SHJ481 RXN50:RXN481 RNR50:RNR481 RDV50:RDV481 QTZ50:QTZ481 QKD50:QKD481 QAH50:QAH481 PQL50:PQL481 PGP50:PGP481 OWT50:OWT481 OMX50:OMX481 ODB50:ODB481 NTF50:NTF481 NJJ50:NJJ481 MZN50:MZN481 MPR50:MPR481 MFV50:MFV481 LVZ50:LVZ481 LMD50:LMD481 LCH50:LCH481 KSL50:KSL481 KIP50:KIP481 JYT50:JYT481 JOX50:JOX481 JFB50:JFB481 IVF50:IVF481 ILJ50:ILJ481 IBN50:IBN481 HRR50:HRR481 HHV50:HHV481 GXZ50:GXZ481 GOD50:GOD481 GEH50:GEH481 FUL50:FUL481 FKP50:FKP481 FAT50:FAT481 EQX50:EQX481 EHB50:EHB481 DXF50:DXF481 DNJ50:DNJ481 DDN50:DDN481 CTR50:CTR481 CJV50:CJV481 BZZ50:BZZ481 BQD50:BQD481 BGH50:BGH481 AWL50:AWL481 AMP50:AMP481 ACT50:ACT481 SX50:SX481 JB50:JB481 F206:F481 WVM983097:WVM983098 WLQ983097:WLQ983098 WBU983097:WBU983098 VRY983097:VRY983098 VIC983097:VIC983098 UYG983097:UYG983098 UOK983097:UOK983098 UEO983097:UEO983098 TUS983097:TUS983098 TKW983097:TKW983098 TBA983097:TBA983098 SRE983097:SRE983098 SHI983097:SHI983098 RXM983097:RXM983098 RNQ983097:RNQ983098 RDU983097:RDU983098 QTY983097:QTY983098 QKC983097:QKC983098 QAG983097:QAG983098 PQK983097:PQK983098 PGO983097:PGO983098 OWS983097:OWS983098 OMW983097:OMW983098 ODA983097:ODA983098 NTE983097:NTE983098 NJI983097:NJI983098 MZM983097:MZM983098 MPQ983097:MPQ983098 MFU983097:MFU983098 LVY983097:LVY983098 LMC983097:LMC983098 LCG983097:LCG983098 KSK983097:KSK983098 KIO983097:KIO983098 JYS983097:JYS983098 JOW983097:JOW983098 JFA983097:JFA983098 IVE983097:IVE983098 ILI983097:ILI983098 IBM983097:IBM983098 HRQ983097:HRQ983098 HHU983097:HHU983098 GXY983097:GXY983098 GOC983097:GOC983098 GEG983097:GEG983098 FUK983097:FUK983098 FKO983097:FKO983098 FAS983097:FAS983098 EQW983097:EQW983098 EHA983097:EHA983098 DXE983097:DXE983098 DNI983097:DNI983098 DDM983097:DDM983098 CTQ983097:CTQ983098 CJU983097:CJU983098 BZY983097:BZY983098 BQC983097:BQC983098 BGG983097:BGG983098 AWK983097:AWK983098 AMO983097:AMO983098 ACS983097:ACS983098 SW983097:SW983098 JA983097:JA983098 E983097:E983098 WVM917561:WVM917562 WLQ917561:WLQ917562 WBU917561:WBU917562 VRY917561:VRY917562 VIC917561:VIC917562 UYG917561:UYG917562 UOK917561:UOK917562 UEO917561:UEO917562 TUS917561:TUS917562 TKW917561:TKW917562 TBA917561:TBA917562 SRE917561:SRE917562 SHI917561:SHI917562 RXM917561:RXM917562 RNQ917561:RNQ917562 RDU917561:RDU917562 QTY917561:QTY917562 QKC917561:QKC917562 QAG917561:QAG917562 PQK917561:PQK917562 PGO917561:PGO917562 OWS917561:OWS917562 OMW917561:OMW917562 ODA917561:ODA917562 NTE917561:NTE917562 NJI917561:NJI917562 MZM917561:MZM917562 MPQ917561:MPQ917562 MFU917561:MFU917562 LVY917561:LVY917562 LMC917561:LMC917562 LCG917561:LCG917562 KSK917561:KSK917562 KIO917561:KIO917562 JYS917561:JYS917562 JOW917561:JOW917562 JFA917561:JFA917562 IVE917561:IVE917562 ILI917561:ILI917562 IBM917561:IBM917562 HRQ917561:HRQ917562 HHU917561:HHU917562 GXY917561:GXY917562 GOC917561:GOC917562 GEG917561:GEG917562 FUK917561:FUK917562 FKO917561:FKO917562 FAS917561:FAS917562 EQW917561:EQW917562 EHA917561:EHA917562 DXE917561:DXE917562 DNI917561:DNI917562 DDM917561:DDM917562 CTQ917561:CTQ917562 CJU917561:CJU917562 BZY917561:BZY917562 BQC917561:BQC917562 BGG917561:BGG917562 AWK917561:AWK917562 AMO917561:AMO917562 ACS917561:ACS917562 SW917561:SW917562 JA917561:JA917562 E917561:E917562 WVM852025:WVM852026 WLQ852025:WLQ852026 WBU852025:WBU852026 VRY852025:VRY852026 VIC852025:VIC852026 UYG852025:UYG852026 UOK852025:UOK852026 UEO852025:UEO852026 TUS852025:TUS852026 TKW852025:TKW852026 TBA852025:TBA852026 SRE852025:SRE852026 SHI852025:SHI852026 RXM852025:RXM852026 RNQ852025:RNQ852026 RDU852025:RDU852026 QTY852025:QTY852026 QKC852025:QKC852026 QAG852025:QAG852026 PQK852025:PQK852026 PGO852025:PGO852026 OWS852025:OWS852026 OMW852025:OMW852026 ODA852025:ODA852026 NTE852025:NTE852026 NJI852025:NJI852026 MZM852025:MZM852026 MPQ852025:MPQ852026 MFU852025:MFU852026 LVY852025:LVY852026 LMC852025:LMC852026 LCG852025:LCG852026 KSK852025:KSK852026 KIO852025:KIO852026 JYS852025:JYS852026 JOW852025:JOW852026 JFA852025:JFA852026 IVE852025:IVE852026 ILI852025:ILI852026 IBM852025:IBM852026 HRQ852025:HRQ852026 HHU852025:HHU852026 GXY852025:GXY852026 GOC852025:GOC852026 GEG852025:GEG852026 FUK852025:FUK852026 FKO852025:FKO852026 FAS852025:FAS852026 EQW852025:EQW852026 EHA852025:EHA852026 DXE852025:DXE852026 DNI852025:DNI852026 DDM852025:DDM852026 CTQ852025:CTQ852026 CJU852025:CJU852026 BZY852025:BZY852026 BQC852025:BQC852026 BGG852025:BGG852026 AWK852025:AWK852026 AMO852025:AMO852026 ACS852025:ACS852026 SW852025:SW852026 JA852025:JA852026 E852025:E852026 WVM786489:WVM786490 WLQ786489:WLQ786490 WBU786489:WBU786490 VRY786489:VRY786490 VIC786489:VIC786490 UYG786489:UYG786490 UOK786489:UOK786490 UEO786489:UEO786490 TUS786489:TUS786490 TKW786489:TKW786490 TBA786489:TBA786490 SRE786489:SRE786490 SHI786489:SHI786490 RXM786489:RXM786490 RNQ786489:RNQ786490 RDU786489:RDU786490 QTY786489:QTY786490 QKC786489:QKC786490 QAG786489:QAG786490 PQK786489:PQK786490 PGO786489:PGO786490 OWS786489:OWS786490 OMW786489:OMW786490 ODA786489:ODA786490 NTE786489:NTE786490 NJI786489:NJI786490 MZM786489:MZM786490 MPQ786489:MPQ786490 MFU786489:MFU786490 LVY786489:LVY786490 LMC786489:LMC786490 LCG786489:LCG786490 KSK786489:KSK786490 KIO786489:KIO786490 JYS786489:JYS786490 JOW786489:JOW786490 JFA786489:JFA786490 IVE786489:IVE786490 ILI786489:ILI786490 IBM786489:IBM786490 HRQ786489:HRQ786490 HHU786489:HHU786490 GXY786489:GXY786490 GOC786489:GOC786490 GEG786489:GEG786490 FUK786489:FUK786490 FKO786489:FKO786490 FAS786489:FAS786490 EQW786489:EQW786490 EHA786489:EHA786490 DXE786489:DXE786490 DNI786489:DNI786490 DDM786489:DDM786490 CTQ786489:CTQ786490 CJU786489:CJU786490 BZY786489:BZY786490 BQC786489:BQC786490 BGG786489:BGG786490 AWK786489:AWK786490 AMO786489:AMO786490 ACS786489:ACS786490 SW786489:SW786490 JA786489:JA786490 E786489:E786490 WVM720953:WVM720954 WLQ720953:WLQ720954 WBU720953:WBU720954 VRY720953:VRY720954 VIC720953:VIC720954 UYG720953:UYG720954 UOK720953:UOK720954 UEO720953:UEO720954 TUS720953:TUS720954 TKW720953:TKW720954 TBA720953:TBA720954 SRE720953:SRE720954 SHI720953:SHI720954 RXM720953:RXM720954 RNQ720953:RNQ720954 RDU720953:RDU720954 QTY720953:QTY720954 QKC720953:QKC720954 QAG720953:QAG720954 PQK720953:PQK720954 PGO720953:PGO720954 OWS720953:OWS720954 OMW720953:OMW720954 ODA720953:ODA720954 NTE720953:NTE720954 NJI720953:NJI720954 MZM720953:MZM720954 MPQ720953:MPQ720954 MFU720953:MFU720954 LVY720953:LVY720954 LMC720953:LMC720954 LCG720953:LCG720954 KSK720953:KSK720954 KIO720953:KIO720954 JYS720953:JYS720954 JOW720953:JOW720954 JFA720953:JFA720954 IVE720953:IVE720954 ILI720953:ILI720954 IBM720953:IBM720954 HRQ720953:HRQ720954 HHU720953:HHU720954 GXY720953:GXY720954 GOC720953:GOC720954 GEG720953:GEG720954 FUK720953:FUK720954 FKO720953:FKO720954 FAS720953:FAS720954 EQW720953:EQW720954 EHA720953:EHA720954 DXE720953:DXE720954 DNI720953:DNI720954 DDM720953:DDM720954 CTQ720953:CTQ720954 CJU720953:CJU720954 BZY720953:BZY720954 BQC720953:BQC720954 BGG720953:BGG720954 AWK720953:AWK720954 AMO720953:AMO720954 ACS720953:ACS720954 SW720953:SW720954 JA720953:JA720954 E720953:E720954 WVM655417:WVM655418 WLQ655417:WLQ655418 WBU655417:WBU655418 VRY655417:VRY655418 VIC655417:VIC655418 UYG655417:UYG655418 UOK655417:UOK655418 UEO655417:UEO655418 TUS655417:TUS655418 TKW655417:TKW655418 TBA655417:TBA655418 SRE655417:SRE655418 SHI655417:SHI655418 RXM655417:RXM655418 RNQ655417:RNQ655418 RDU655417:RDU655418 QTY655417:QTY655418 QKC655417:QKC655418 QAG655417:QAG655418 PQK655417:PQK655418 PGO655417:PGO655418 OWS655417:OWS655418 OMW655417:OMW655418 ODA655417:ODA655418 NTE655417:NTE655418 NJI655417:NJI655418 MZM655417:MZM655418 MPQ655417:MPQ655418 MFU655417:MFU655418 LVY655417:LVY655418 LMC655417:LMC655418 LCG655417:LCG655418 KSK655417:KSK655418 KIO655417:KIO655418 JYS655417:JYS655418 JOW655417:JOW655418 JFA655417:JFA655418 IVE655417:IVE655418 ILI655417:ILI655418 IBM655417:IBM655418 HRQ655417:HRQ655418 HHU655417:HHU655418 GXY655417:GXY655418 GOC655417:GOC655418 GEG655417:GEG655418 FUK655417:FUK655418 FKO655417:FKO655418 FAS655417:FAS655418 EQW655417:EQW655418 EHA655417:EHA655418 DXE655417:DXE655418 DNI655417:DNI655418 DDM655417:DDM655418 CTQ655417:CTQ655418 CJU655417:CJU655418 BZY655417:BZY655418 BQC655417:BQC655418 BGG655417:BGG655418 AWK655417:AWK655418 AMO655417:AMO655418 ACS655417:ACS655418 SW655417:SW655418 JA655417:JA655418 E655417:E655418 WVM589881:WVM589882 WLQ589881:WLQ589882 WBU589881:WBU589882 VRY589881:VRY589882 VIC589881:VIC589882 UYG589881:UYG589882 UOK589881:UOK589882 UEO589881:UEO589882 TUS589881:TUS589882 TKW589881:TKW589882 TBA589881:TBA589882 SRE589881:SRE589882 SHI589881:SHI589882 RXM589881:RXM589882 RNQ589881:RNQ589882 RDU589881:RDU589882 QTY589881:QTY589882 QKC589881:QKC589882 QAG589881:QAG589882 PQK589881:PQK589882 PGO589881:PGO589882 OWS589881:OWS589882 OMW589881:OMW589882 ODA589881:ODA589882 NTE589881:NTE589882 NJI589881:NJI589882 MZM589881:MZM589882 MPQ589881:MPQ589882 MFU589881:MFU589882 LVY589881:LVY589882 LMC589881:LMC589882 LCG589881:LCG589882 KSK589881:KSK589882 KIO589881:KIO589882 JYS589881:JYS589882 JOW589881:JOW589882 JFA589881:JFA589882 IVE589881:IVE589882 ILI589881:ILI589882 IBM589881:IBM589882 HRQ589881:HRQ589882 HHU589881:HHU589882 GXY589881:GXY589882 GOC589881:GOC589882 GEG589881:GEG589882 FUK589881:FUK589882 FKO589881:FKO589882 FAS589881:FAS589882 EQW589881:EQW589882 EHA589881:EHA589882 DXE589881:DXE589882 DNI589881:DNI589882 DDM589881:DDM589882 CTQ589881:CTQ589882 CJU589881:CJU589882 BZY589881:BZY589882 BQC589881:BQC589882 BGG589881:BGG589882 AWK589881:AWK589882 AMO589881:AMO589882 ACS589881:ACS589882 SW589881:SW589882 JA589881:JA589882 E589881:E589882 WVM524345:WVM524346 WLQ524345:WLQ524346 WBU524345:WBU524346 VRY524345:VRY524346 VIC524345:VIC524346 UYG524345:UYG524346 UOK524345:UOK524346 UEO524345:UEO524346 TUS524345:TUS524346 TKW524345:TKW524346 TBA524345:TBA524346 SRE524345:SRE524346 SHI524345:SHI524346 RXM524345:RXM524346 RNQ524345:RNQ524346 RDU524345:RDU524346 QTY524345:QTY524346 QKC524345:QKC524346 QAG524345:QAG524346 PQK524345:PQK524346 PGO524345:PGO524346 OWS524345:OWS524346 OMW524345:OMW524346 ODA524345:ODA524346 NTE524345:NTE524346 NJI524345:NJI524346 MZM524345:MZM524346 MPQ524345:MPQ524346 MFU524345:MFU524346 LVY524345:LVY524346 LMC524345:LMC524346 LCG524345:LCG524346 KSK524345:KSK524346 KIO524345:KIO524346 JYS524345:JYS524346 JOW524345:JOW524346 JFA524345:JFA524346 IVE524345:IVE524346 ILI524345:ILI524346 IBM524345:IBM524346 HRQ524345:HRQ524346 HHU524345:HHU524346 GXY524345:GXY524346 GOC524345:GOC524346 GEG524345:GEG524346 FUK524345:FUK524346 FKO524345:FKO524346 FAS524345:FAS524346 EQW524345:EQW524346 EHA524345:EHA524346 DXE524345:DXE524346 DNI524345:DNI524346 DDM524345:DDM524346 CTQ524345:CTQ524346 CJU524345:CJU524346 BZY524345:BZY524346 BQC524345:BQC524346 BGG524345:BGG524346 AWK524345:AWK524346 AMO524345:AMO524346 ACS524345:ACS524346 SW524345:SW524346 JA524345:JA524346 E524345:E524346 WVM458809:WVM458810 WLQ458809:WLQ458810 WBU458809:WBU458810 VRY458809:VRY458810 VIC458809:VIC458810 UYG458809:UYG458810 UOK458809:UOK458810 UEO458809:UEO458810 TUS458809:TUS458810 TKW458809:TKW458810 TBA458809:TBA458810 SRE458809:SRE458810 SHI458809:SHI458810 RXM458809:RXM458810 RNQ458809:RNQ458810 RDU458809:RDU458810 QTY458809:QTY458810 QKC458809:QKC458810 QAG458809:QAG458810 PQK458809:PQK458810 PGO458809:PGO458810 OWS458809:OWS458810 OMW458809:OMW458810 ODA458809:ODA458810 NTE458809:NTE458810 NJI458809:NJI458810 MZM458809:MZM458810 MPQ458809:MPQ458810 MFU458809:MFU458810 LVY458809:LVY458810 LMC458809:LMC458810 LCG458809:LCG458810 KSK458809:KSK458810 KIO458809:KIO458810 JYS458809:JYS458810 JOW458809:JOW458810 JFA458809:JFA458810 IVE458809:IVE458810 ILI458809:ILI458810 IBM458809:IBM458810 HRQ458809:HRQ458810 HHU458809:HHU458810 GXY458809:GXY458810 GOC458809:GOC458810 GEG458809:GEG458810 FUK458809:FUK458810 FKO458809:FKO458810 FAS458809:FAS458810 EQW458809:EQW458810 EHA458809:EHA458810 DXE458809:DXE458810 DNI458809:DNI458810 DDM458809:DDM458810 CTQ458809:CTQ458810 CJU458809:CJU458810 BZY458809:BZY458810 BQC458809:BQC458810 BGG458809:BGG458810 AWK458809:AWK458810 AMO458809:AMO458810 ACS458809:ACS458810 SW458809:SW458810 JA458809:JA458810 E458809:E458810 WVM393273:WVM393274 WLQ393273:WLQ393274 WBU393273:WBU393274 VRY393273:VRY393274 VIC393273:VIC393274 UYG393273:UYG393274 UOK393273:UOK393274 UEO393273:UEO393274 TUS393273:TUS393274 TKW393273:TKW393274 TBA393273:TBA393274 SRE393273:SRE393274 SHI393273:SHI393274 RXM393273:RXM393274 RNQ393273:RNQ393274 RDU393273:RDU393274 QTY393273:QTY393274 QKC393273:QKC393274 QAG393273:QAG393274 PQK393273:PQK393274 PGO393273:PGO393274 OWS393273:OWS393274 OMW393273:OMW393274 ODA393273:ODA393274 NTE393273:NTE393274 NJI393273:NJI393274 MZM393273:MZM393274 MPQ393273:MPQ393274 MFU393273:MFU393274 LVY393273:LVY393274 LMC393273:LMC393274 LCG393273:LCG393274 KSK393273:KSK393274 KIO393273:KIO393274 JYS393273:JYS393274 JOW393273:JOW393274 JFA393273:JFA393274 IVE393273:IVE393274 ILI393273:ILI393274 IBM393273:IBM393274 HRQ393273:HRQ393274 HHU393273:HHU393274 GXY393273:GXY393274 GOC393273:GOC393274 GEG393273:GEG393274 FUK393273:FUK393274 FKO393273:FKO393274 FAS393273:FAS393274 EQW393273:EQW393274 EHA393273:EHA393274 DXE393273:DXE393274 DNI393273:DNI393274 DDM393273:DDM393274 CTQ393273:CTQ393274 CJU393273:CJU393274 BZY393273:BZY393274 BQC393273:BQC393274 BGG393273:BGG393274 AWK393273:AWK393274 AMO393273:AMO393274 ACS393273:ACS393274 SW393273:SW393274 JA393273:JA393274 E393273:E393274 WVM327737:WVM327738 WLQ327737:WLQ327738 WBU327737:WBU327738 VRY327737:VRY327738 VIC327737:VIC327738 UYG327737:UYG327738 UOK327737:UOK327738 UEO327737:UEO327738 TUS327737:TUS327738 TKW327737:TKW327738 TBA327737:TBA327738 SRE327737:SRE327738 SHI327737:SHI327738 RXM327737:RXM327738 RNQ327737:RNQ327738 RDU327737:RDU327738 QTY327737:QTY327738 QKC327737:QKC327738 QAG327737:QAG327738 PQK327737:PQK327738 PGO327737:PGO327738 OWS327737:OWS327738 OMW327737:OMW327738 ODA327737:ODA327738 NTE327737:NTE327738 NJI327737:NJI327738 MZM327737:MZM327738 MPQ327737:MPQ327738 MFU327737:MFU327738 LVY327737:LVY327738 LMC327737:LMC327738 LCG327737:LCG327738 KSK327737:KSK327738 KIO327737:KIO327738 JYS327737:JYS327738 JOW327737:JOW327738 JFA327737:JFA327738 IVE327737:IVE327738 ILI327737:ILI327738 IBM327737:IBM327738 HRQ327737:HRQ327738 HHU327737:HHU327738 GXY327737:GXY327738 GOC327737:GOC327738 GEG327737:GEG327738 FUK327737:FUK327738 FKO327737:FKO327738 FAS327737:FAS327738 EQW327737:EQW327738 EHA327737:EHA327738 DXE327737:DXE327738 DNI327737:DNI327738 DDM327737:DDM327738 CTQ327737:CTQ327738 CJU327737:CJU327738 BZY327737:BZY327738 BQC327737:BQC327738 BGG327737:BGG327738 AWK327737:AWK327738 AMO327737:AMO327738 ACS327737:ACS327738 SW327737:SW327738 JA327737:JA327738 E327737:E327738 WVM262201:WVM262202 WLQ262201:WLQ262202 WBU262201:WBU262202 VRY262201:VRY262202 VIC262201:VIC262202 UYG262201:UYG262202 UOK262201:UOK262202 UEO262201:UEO262202 TUS262201:TUS262202 TKW262201:TKW262202 TBA262201:TBA262202 SRE262201:SRE262202 SHI262201:SHI262202 RXM262201:RXM262202 RNQ262201:RNQ262202 RDU262201:RDU262202 QTY262201:QTY262202 QKC262201:QKC262202 QAG262201:QAG262202 PQK262201:PQK262202 PGO262201:PGO262202 OWS262201:OWS262202 OMW262201:OMW262202 ODA262201:ODA262202 NTE262201:NTE262202 NJI262201:NJI262202 MZM262201:MZM262202 MPQ262201:MPQ262202 MFU262201:MFU262202 LVY262201:LVY262202 LMC262201:LMC262202 LCG262201:LCG262202 KSK262201:KSK262202 KIO262201:KIO262202 JYS262201:JYS262202 JOW262201:JOW262202 JFA262201:JFA262202 IVE262201:IVE262202 ILI262201:ILI262202 IBM262201:IBM262202 HRQ262201:HRQ262202 HHU262201:HHU262202 GXY262201:GXY262202 GOC262201:GOC262202 GEG262201:GEG262202 FUK262201:FUK262202 FKO262201:FKO262202 FAS262201:FAS262202 EQW262201:EQW262202 EHA262201:EHA262202 DXE262201:DXE262202 DNI262201:DNI262202 DDM262201:DDM262202 CTQ262201:CTQ262202 CJU262201:CJU262202 BZY262201:BZY262202 BQC262201:BQC262202 BGG262201:BGG262202 AWK262201:AWK262202 AMO262201:AMO262202 ACS262201:ACS262202 SW262201:SW262202 JA262201:JA262202 E262201:E262202 WVM196665:WVM196666 WLQ196665:WLQ196666 WBU196665:WBU196666 VRY196665:VRY196666 VIC196665:VIC196666 UYG196665:UYG196666 UOK196665:UOK196666 UEO196665:UEO196666 TUS196665:TUS196666 TKW196665:TKW196666 TBA196665:TBA196666 SRE196665:SRE196666 SHI196665:SHI196666 RXM196665:RXM196666 RNQ196665:RNQ196666 RDU196665:RDU196666 QTY196665:QTY196666 QKC196665:QKC196666 QAG196665:QAG196666 PQK196665:PQK196666 PGO196665:PGO196666 OWS196665:OWS196666 OMW196665:OMW196666 ODA196665:ODA196666 NTE196665:NTE196666 NJI196665:NJI196666 MZM196665:MZM196666 MPQ196665:MPQ196666 MFU196665:MFU196666 LVY196665:LVY196666 LMC196665:LMC196666 LCG196665:LCG196666 KSK196665:KSK196666 KIO196665:KIO196666 JYS196665:JYS196666 JOW196665:JOW196666 JFA196665:JFA196666 IVE196665:IVE196666 ILI196665:ILI196666 IBM196665:IBM196666 HRQ196665:HRQ196666 HHU196665:HHU196666 GXY196665:GXY196666 GOC196665:GOC196666 GEG196665:GEG196666 FUK196665:FUK196666 FKO196665:FKO196666 FAS196665:FAS196666 EQW196665:EQW196666 EHA196665:EHA196666 DXE196665:DXE196666 DNI196665:DNI196666 DDM196665:DDM196666 CTQ196665:CTQ196666 CJU196665:CJU196666 BZY196665:BZY196666 BQC196665:BQC196666 BGG196665:BGG196666 AWK196665:AWK196666 AMO196665:AMO196666 ACS196665:ACS196666 SW196665:SW196666 JA196665:JA196666 E196665:E196666 WVM131129:WVM131130 WLQ131129:WLQ131130 WBU131129:WBU131130 VRY131129:VRY131130 VIC131129:VIC131130 UYG131129:UYG131130 UOK131129:UOK131130 UEO131129:UEO131130 TUS131129:TUS131130 TKW131129:TKW131130 TBA131129:TBA131130 SRE131129:SRE131130 SHI131129:SHI131130 RXM131129:RXM131130 RNQ131129:RNQ131130 RDU131129:RDU131130 QTY131129:QTY131130 QKC131129:QKC131130 QAG131129:QAG131130 PQK131129:PQK131130 PGO131129:PGO131130 OWS131129:OWS131130 OMW131129:OMW131130 ODA131129:ODA131130 NTE131129:NTE131130 NJI131129:NJI131130 MZM131129:MZM131130 MPQ131129:MPQ131130 MFU131129:MFU131130 LVY131129:LVY131130 LMC131129:LMC131130 LCG131129:LCG131130 KSK131129:KSK131130 KIO131129:KIO131130 JYS131129:JYS131130 JOW131129:JOW131130 JFA131129:JFA131130 IVE131129:IVE131130 ILI131129:ILI131130 IBM131129:IBM131130 HRQ131129:HRQ131130 HHU131129:HHU131130 GXY131129:GXY131130 GOC131129:GOC131130 GEG131129:GEG131130 FUK131129:FUK131130 FKO131129:FKO131130 FAS131129:FAS131130 EQW131129:EQW131130 EHA131129:EHA131130 DXE131129:DXE131130 DNI131129:DNI131130 DDM131129:DDM131130 CTQ131129:CTQ131130 CJU131129:CJU131130 BZY131129:BZY131130 BQC131129:BQC131130 BGG131129:BGG131130 AWK131129:AWK131130 AMO131129:AMO131130 ACS131129:ACS131130 SW131129:SW131130 JA131129:JA131130 E131129:E131130 WVM65593:WVM65594 WLQ65593:WLQ65594 WBU65593:WBU65594 VRY65593:VRY65594 VIC65593:VIC65594 UYG65593:UYG65594 UOK65593:UOK65594 UEO65593:UEO65594 TUS65593:TUS65594 TKW65593:TKW65594 TBA65593:TBA65594 SRE65593:SRE65594 SHI65593:SHI65594 RXM65593:RXM65594 RNQ65593:RNQ65594 RDU65593:RDU65594 QTY65593:QTY65594 QKC65593:QKC65594 QAG65593:QAG65594 PQK65593:PQK65594 PGO65593:PGO65594 OWS65593:OWS65594 OMW65593:OMW65594 ODA65593:ODA65594 NTE65593:NTE65594 NJI65593:NJI65594 MZM65593:MZM65594 MPQ65593:MPQ65594 MFU65593:MFU65594 LVY65593:LVY65594 LMC65593:LMC65594 LCG65593:LCG65594 KSK65593:KSK65594 KIO65593:KIO65594 JYS65593:JYS65594 JOW65593:JOW65594 JFA65593:JFA65594 IVE65593:IVE65594 ILI65593:ILI65594 IBM65593:IBM65594 HRQ65593:HRQ65594 HHU65593:HHU65594 GXY65593:GXY65594 GOC65593:GOC65594 GEG65593:GEG65594 FUK65593:FUK65594 FKO65593:FKO65594 FAS65593:FAS65594 EQW65593:EQW65594 EHA65593:EHA65594 DXE65593:DXE65594 DNI65593:DNI65594 DDM65593:DDM65594 CTQ65593:CTQ65594 CJU65593:CJU65594 BZY65593:BZY65594 BQC65593:BQC65594 BGG65593:BGG65594 AWK65593:AWK65594 AMO65593:AMO65594 ACS65593:ACS65594 SW65593:SW65594 JA65593:JA65594 E65593:E65594 WVM57:WVM58 WLQ57:WLQ58 WBU57:WBU58 VRY57:VRY58 VIC57:VIC58 UYG57:UYG58 UOK57:UOK58 UEO57:UEO58 TUS57:TUS58 TKW57:TKW58 TBA57:TBA58 SRE57:SRE58 SHI57:SHI58 RXM57:RXM58 RNQ57:RNQ58 RDU57:RDU58 QTY57:QTY58 QKC57:QKC58 QAG57:QAG58 PQK57:PQK58 PGO57:PGO58 OWS57:OWS58 OMW57:OMW58 ODA57:ODA58 NTE57:NTE58 NJI57:NJI58 MZM57:MZM58 MPQ57:MPQ58 MFU57:MFU58 LVY57:LVY58 LMC57:LMC58 LCG57:LCG58 KSK57:KSK58 KIO57:KIO58 JYS57:JYS58 JOW57:JOW58 JFA57:JFA58 IVE57:IVE58 ILI57:ILI58 IBM57:IBM58 HRQ57:HRQ58 HHU57:HHU58 GXY57:GXY58 GOC57:GOC58 GEG57:GEG58 FUK57:FUK58 FKO57:FKO58 FAS57:FAS58 EQW57:EQW58 EHA57:EHA58 DXE57:DXE58 DNI57:DNI58 DDM57:DDM58 CTQ57:CTQ58 CJU57:CJU58 BZY57:BZY58 BQC57:BQC58 BGG57:BGG58 AWK57:AWK58 AMO57:AMO58 ACS57:ACS58 SW57:SW58 JA57:JA58">
      <formula1>Names</formula1>
    </dataValidation>
    <dataValidation type="list" allowBlank="1" showInputMessage="1" showErrorMessage="1" sqref="K40:K100 N101:N167">
      <formula1>Status</formula1>
    </dataValidation>
    <dataValidation type="list" allowBlank="1" showInputMessage="1" showErrorMessage="1" sqref="E40:E100">
      <formula1>Team</formula1>
    </dataValidation>
    <dataValidation type="list" allowBlank="1" showInputMessage="1" showErrorMessage="1" sqref="F40:F100">
      <formula1>Priority</formula1>
    </dataValidation>
  </dataValidations>
  <pageMargins left="0.75" right="0.75" top="1" bottom="1" header="0.5" footer="0.5"/>
  <pageSetup orientation="portrait" r:id="rId1"/>
  <headerFooter alignWithMargins="0"/>
  <cellWatches>
    <cellWatch r="W11"/>
  </cellWatches>
  <ignoredErrors>
    <ignoredError sqref="AC10:BA10 W10:AB10" unlockedFormula="1"/>
  </ignoredErrors>
  <drawing r:id="rId2"/>
  <legacyDrawing r:id="rId3"/>
</worksheet>
</file>

<file path=xl/worksheets/sheet5.xml><?xml version="1.0" encoding="utf-8"?>
<worksheet xmlns="http://schemas.openxmlformats.org/spreadsheetml/2006/main" xmlns:r="http://schemas.openxmlformats.org/officeDocument/2006/relationships">
  <sheetPr codeName="Sheet2"/>
  <dimension ref="A1:F12"/>
  <sheetViews>
    <sheetView workbookViewId="0">
      <selection activeCell="E14" sqref="E14"/>
    </sheetView>
  </sheetViews>
  <sheetFormatPr defaultRowHeight="16.5"/>
  <cols>
    <col min="1" max="1" width="14.75" bestFit="1" customWidth="1"/>
    <col min="2" max="2" width="11" bestFit="1" customWidth="1"/>
    <col min="3" max="3" width="9.875" bestFit="1" customWidth="1"/>
    <col min="6" max="6" width="10" bestFit="1" customWidth="1"/>
  </cols>
  <sheetData>
    <row r="1" spans="1:6">
      <c r="A1" s="21" t="s">
        <v>37</v>
      </c>
      <c r="B1" s="21" t="s">
        <v>38</v>
      </c>
      <c r="C1" s="21" t="s">
        <v>39</v>
      </c>
      <c r="D1" s="21" t="s">
        <v>43</v>
      </c>
      <c r="E1" s="21" t="s">
        <v>44</v>
      </c>
      <c r="F1" s="44" t="s">
        <v>57</v>
      </c>
    </row>
    <row r="2" spans="1:6">
      <c r="A2" s="22" t="s">
        <v>120</v>
      </c>
      <c r="B2" s="24" t="s">
        <v>116</v>
      </c>
      <c r="C2" s="22" t="s">
        <v>36</v>
      </c>
      <c r="D2" s="23" t="s">
        <v>68</v>
      </c>
      <c r="E2" s="24" t="s">
        <v>45</v>
      </c>
      <c r="F2" s="45"/>
    </row>
    <row r="3" spans="1:6">
      <c r="A3" s="22" t="s">
        <v>120</v>
      </c>
      <c r="B3" s="24" t="s">
        <v>115</v>
      </c>
      <c r="C3" s="22" t="s">
        <v>33</v>
      </c>
      <c r="D3" s="23" t="s">
        <v>69</v>
      </c>
      <c r="E3" s="24" t="s">
        <v>46</v>
      </c>
      <c r="F3" s="45"/>
    </row>
    <row r="4" spans="1:6">
      <c r="A4" s="22" t="s">
        <v>40</v>
      </c>
      <c r="B4" s="24" t="s">
        <v>42</v>
      </c>
      <c r="C4" s="22" t="s">
        <v>35</v>
      </c>
      <c r="D4" s="23" t="s">
        <v>70</v>
      </c>
      <c r="E4" s="24" t="s">
        <v>47</v>
      </c>
      <c r="F4" s="45"/>
    </row>
    <row r="5" spans="1:6">
      <c r="A5" s="22" t="s">
        <v>41</v>
      </c>
      <c r="B5" s="24" t="s">
        <v>117</v>
      </c>
      <c r="C5" s="24" t="s">
        <v>34</v>
      </c>
      <c r="D5" s="23" t="s">
        <v>71</v>
      </c>
      <c r="E5" s="24"/>
      <c r="F5" s="24"/>
    </row>
    <row r="6" spans="1:6">
      <c r="A6" s="22" t="s">
        <v>121</v>
      </c>
      <c r="B6" s="24" t="s">
        <v>118</v>
      </c>
      <c r="C6" s="24"/>
      <c r="D6" s="24"/>
      <c r="E6" s="24"/>
      <c r="F6" s="45"/>
    </row>
    <row r="7" spans="1:6">
      <c r="A7" s="22" t="s">
        <v>189</v>
      </c>
      <c r="B7" s="24" t="s">
        <v>119</v>
      </c>
      <c r="C7" s="24"/>
      <c r="D7" s="24"/>
      <c r="E7" s="24"/>
      <c r="F7" s="45"/>
    </row>
    <row r="8" spans="1:6">
      <c r="A8" s="22" t="s">
        <v>122</v>
      </c>
      <c r="C8" s="24"/>
      <c r="D8" s="24"/>
      <c r="E8" s="24"/>
      <c r="F8" s="45"/>
    </row>
    <row r="9" spans="1:6">
      <c r="A9" s="25"/>
      <c r="B9" s="52"/>
      <c r="C9" s="25"/>
      <c r="D9" s="25"/>
      <c r="E9" s="25"/>
      <c r="F9" s="25"/>
    </row>
    <row r="10" spans="1:6">
      <c r="A10" s="25"/>
      <c r="B10" s="52"/>
      <c r="C10" s="25"/>
      <c r="D10" s="25"/>
      <c r="E10" s="25"/>
      <c r="F10" s="25"/>
    </row>
    <row r="11" spans="1:6">
      <c r="A11" s="25"/>
      <c r="B11" s="25"/>
      <c r="C11" s="25"/>
      <c r="D11" s="25"/>
      <c r="E11" s="25"/>
      <c r="F11" s="25"/>
    </row>
    <row r="12" spans="1:6">
      <c r="A12" s="25"/>
      <c r="B12" s="25"/>
      <c r="C12" s="25"/>
      <c r="D12" s="25"/>
      <c r="E12" s="25"/>
      <c r="F12" s="25"/>
    </row>
  </sheetData>
  <phoneticPr fontId="1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7"/>
  <dimension ref="A1:H18"/>
  <sheetViews>
    <sheetView workbookViewId="0">
      <selection activeCell="B2" sqref="B2"/>
    </sheetView>
  </sheetViews>
  <sheetFormatPr defaultRowHeight="16.5"/>
  <cols>
    <col min="1" max="1" width="5" bestFit="1" customWidth="1"/>
    <col min="2" max="2" width="26.625" customWidth="1"/>
    <col min="3" max="3" width="18" bestFit="1" customWidth="1"/>
    <col min="4" max="4" width="7.125" bestFit="1" customWidth="1"/>
    <col min="5" max="5" width="9.75" bestFit="1" customWidth="1"/>
    <col min="6" max="6" width="8.875" bestFit="1" customWidth="1"/>
    <col min="7" max="8" width="15" bestFit="1" customWidth="1"/>
  </cols>
  <sheetData>
    <row r="1" spans="1:8">
      <c r="A1" s="66" t="s">
        <v>59</v>
      </c>
      <c r="B1" s="66" t="s">
        <v>72</v>
      </c>
      <c r="C1" s="66" t="s">
        <v>73</v>
      </c>
      <c r="D1" s="66" t="s">
        <v>74</v>
      </c>
      <c r="E1" s="66" t="s">
        <v>75</v>
      </c>
      <c r="F1" s="66" t="s">
        <v>76</v>
      </c>
      <c r="G1" s="66" t="s">
        <v>78</v>
      </c>
      <c r="H1" s="66" t="s">
        <v>79</v>
      </c>
    </row>
    <row r="2" spans="1:8">
      <c r="A2" s="24"/>
      <c r="B2" s="24"/>
      <c r="C2" s="24"/>
      <c r="D2" s="24"/>
      <c r="E2" s="24"/>
      <c r="F2" s="24"/>
      <c r="G2" s="24"/>
      <c r="H2" s="24"/>
    </row>
    <row r="3" spans="1:8">
      <c r="A3" s="24"/>
      <c r="B3" s="24"/>
      <c r="C3" s="24"/>
      <c r="D3" s="24"/>
      <c r="E3" s="24"/>
      <c r="F3" s="24"/>
      <c r="G3" s="24"/>
      <c r="H3" s="24"/>
    </row>
    <row r="4" spans="1:8">
      <c r="A4" s="24"/>
      <c r="B4" s="24"/>
      <c r="C4" s="24"/>
      <c r="D4" s="24"/>
      <c r="E4" s="24"/>
      <c r="F4" s="24"/>
      <c r="G4" s="24"/>
      <c r="H4" s="24"/>
    </row>
    <row r="5" spans="1:8">
      <c r="A5" s="24"/>
      <c r="B5" s="24"/>
      <c r="C5" s="24"/>
      <c r="D5" s="24"/>
      <c r="E5" s="24"/>
      <c r="F5" s="24"/>
      <c r="G5" s="24"/>
      <c r="H5" s="24"/>
    </row>
    <row r="6" spans="1:8">
      <c r="A6" s="24"/>
      <c r="B6" s="24"/>
      <c r="C6" s="24"/>
      <c r="D6" s="24"/>
      <c r="E6" s="24"/>
      <c r="F6" s="24"/>
      <c r="G6" s="24"/>
      <c r="H6" s="24"/>
    </row>
    <row r="7" spans="1:8">
      <c r="A7" s="24"/>
      <c r="B7" s="24"/>
      <c r="C7" s="24"/>
      <c r="D7" s="24"/>
      <c r="E7" s="24"/>
      <c r="F7" s="24"/>
      <c r="G7" s="24"/>
      <c r="H7" s="24"/>
    </row>
    <row r="8" spans="1:8">
      <c r="A8" s="24"/>
      <c r="B8" s="24"/>
      <c r="C8" s="24"/>
      <c r="D8" s="24"/>
      <c r="E8" s="24"/>
      <c r="F8" s="24"/>
      <c r="G8" s="24"/>
      <c r="H8" s="24"/>
    </row>
    <row r="9" spans="1:8">
      <c r="A9" s="24"/>
      <c r="B9" s="24"/>
      <c r="C9" s="24"/>
      <c r="D9" s="24"/>
      <c r="E9" s="24"/>
      <c r="F9" s="24"/>
      <c r="G9" s="24"/>
      <c r="H9" s="24"/>
    </row>
    <row r="10" spans="1:8">
      <c r="A10" s="24"/>
      <c r="B10" s="24"/>
      <c r="C10" s="24"/>
      <c r="D10" s="24"/>
      <c r="E10" s="24"/>
      <c r="F10" s="24"/>
      <c r="G10" s="24"/>
      <c r="H10" s="24"/>
    </row>
    <row r="11" spans="1:8">
      <c r="A11" s="24"/>
      <c r="B11" s="24"/>
      <c r="C11" s="24"/>
      <c r="D11" s="24"/>
      <c r="E11" s="24"/>
      <c r="F11" s="24"/>
      <c r="G11" s="24"/>
      <c r="H11" s="24"/>
    </row>
    <row r="12" spans="1:8">
      <c r="A12" s="24"/>
      <c r="B12" s="24"/>
      <c r="C12" s="24"/>
      <c r="D12" s="24"/>
      <c r="E12" s="24"/>
      <c r="F12" s="24"/>
      <c r="G12" s="24"/>
      <c r="H12" s="24"/>
    </row>
    <row r="13" spans="1:8">
      <c r="A13" s="24"/>
      <c r="B13" s="24"/>
      <c r="C13" s="24"/>
      <c r="D13" s="24"/>
      <c r="E13" s="24"/>
      <c r="F13" s="24"/>
      <c r="G13" s="24"/>
      <c r="H13" s="24"/>
    </row>
    <row r="14" spans="1:8">
      <c r="A14" s="24"/>
      <c r="B14" s="24"/>
      <c r="C14" s="24"/>
      <c r="D14" s="24"/>
      <c r="E14" s="24"/>
      <c r="F14" s="24"/>
      <c r="G14" s="24"/>
      <c r="H14" s="24"/>
    </row>
    <row r="15" spans="1:8">
      <c r="A15" s="24"/>
      <c r="B15" s="24"/>
      <c r="C15" s="24"/>
      <c r="D15" s="24"/>
      <c r="E15" s="24"/>
      <c r="F15" s="24"/>
      <c r="G15" s="24"/>
      <c r="H15" s="24"/>
    </row>
    <row r="16" spans="1:8">
      <c r="A16" s="24"/>
      <c r="B16" s="24"/>
      <c r="C16" s="24"/>
      <c r="D16" s="24"/>
      <c r="E16" s="24"/>
      <c r="F16" s="24"/>
      <c r="G16" s="24"/>
      <c r="H16" s="24"/>
    </row>
    <row r="17" spans="1:8">
      <c r="A17" s="24"/>
      <c r="B17" s="24"/>
      <c r="C17" s="24"/>
      <c r="D17" s="24"/>
      <c r="E17" s="24"/>
      <c r="F17" s="24"/>
      <c r="G17" s="24"/>
      <c r="H17" s="24"/>
    </row>
    <row r="18" spans="1:8">
      <c r="A18" s="24"/>
      <c r="B18" s="24"/>
      <c r="C18" s="24"/>
      <c r="D18" s="24"/>
      <c r="E18" s="24"/>
      <c r="F18" s="24"/>
      <c r="G18" s="24"/>
      <c r="H18" s="24"/>
    </row>
  </sheetData>
  <phoneticPr fontId="15" type="noConversion"/>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sheetPr codeName="Sheet3"/>
  <dimension ref="A1:BA100"/>
  <sheetViews>
    <sheetView topLeftCell="A5" workbookViewId="0">
      <selection activeCell="D45" sqref="D45"/>
    </sheetView>
  </sheetViews>
  <sheetFormatPr defaultColWidth="9.125" defaultRowHeight="12.75"/>
  <cols>
    <col min="1" max="1" width="3.75" style="1" customWidth="1"/>
    <col min="2" max="2" width="10.125" style="2" bestFit="1" customWidth="1"/>
    <col min="3" max="3" width="10.875" style="2" customWidth="1"/>
    <col min="4" max="4" width="44.25" style="2" customWidth="1"/>
    <col min="5" max="5" width="9.375" style="2" customWidth="1"/>
    <col min="6" max="6" width="8.75" style="2" customWidth="1"/>
    <col min="7" max="7" width="13.875" style="3" customWidth="1"/>
    <col min="8" max="8" width="9.125" style="3" customWidth="1"/>
    <col min="9" max="9" width="5.375" style="3" customWidth="1"/>
    <col min="10" max="10" width="5.125" style="3" customWidth="1"/>
    <col min="11" max="11" width="10.125" style="3" customWidth="1"/>
    <col min="12" max="15" width="3.125" style="3" bestFit="1" customWidth="1"/>
    <col min="16" max="16" width="8.375" style="3" bestFit="1" customWidth="1"/>
    <col min="17" max="17" width="3.125" style="3" bestFit="1" customWidth="1"/>
    <col min="18" max="18" width="3.125" style="2" bestFit="1" customWidth="1"/>
    <col min="19" max="19" width="3.875" style="2" customWidth="1"/>
    <col min="20" max="20" width="14.25" style="1" bestFit="1" customWidth="1"/>
    <col min="21" max="21" width="3.625" style="1" bestFit="1" customWidth="1"/>
    <col min="22" max="22" width="5.75" style="1" bestFit="1" customWidth="1"/>
    <col min="23" max="23" width="3.625" style="1" customWidth="1"/>
    <col min="24" max="53" width="3" style="1" customWidth="1"/>
    <col min="54" max="16384" width="9.125" style="1"/>
  </cols>
  <sheetData>
    <row r="1" spans="1:53">
      <c r="A1" s="7"/>
      <c r="B1" s="8"/>
      <c r="C1" s="8"/>
      <c r="D1" s="8"/>
      <c r="E1" s="8"/>
      <c r="F1" s="8"/>
      <c r="G1" s="9"/>
      <c r="H1" s="9"/>
      <c r="I1" s="9"/>
      <c r="J1" s="9"/>
      <c r="K1" s="9"/>
      <c r="L1" s="9"/>
      <c r="M1" s="9"/>
      <c r="N1" s="9"/>
      <c r="O1" s="9"/>
      <c r="P1" s="9"/>
      <c r="Q1" s="9"/>
      <c r="R1" s="8"/>
      <c r="S1" s="8"/>
      <c r="T1" s="7"/>
      <c r="U1" s="7"/>
      <c r="V1" s="7"/>
      <c r="W1" s="7"/>
      <c r="X1" s="7"/>
      <c r="Y1" s="7"/>
      <c r="Z1" s="7"/>
      <c r="AA1" s="7"/>
      <c r="AB1" s="7"/>
      <c r="AC1" s="7"/>
      <c r="AD1" s="7"/>
      <c r="AE1" s="7"/>
      <c r="AF1" s="7"/>
      <c r="AG1" s="7"/>
      <c r="AH1" s="7"/>
      <c r="AI1" s="7"/>
      <c r="AJ1" s="7"/>
      <c r="AK1" s="7"/>
      <c r="AL1" s="7"/>
      <c r="AM1" s="7"/>
      <c r="AN1" s="7"/>
      <c r="AO1" s="7"/>
      <c r="AP1" s="7"/>
    </row>
    <row r="2" spans="1:53" ht="15.75">
      <c r="A2" s="7"/>
      <c r="B2" s="50" t="s">
        <v>58</v>
      </c>
      <c r="C2" s="8"/>
      <c r="D2" s="8"/>
      <c r="E2" s="30" t="str">
        <f ca="1">MID(CELL("Filename",A1),FIND("]",CELL("Filename",A1))+1,255)</f>
        <v>Sp2</v>
      </c>
      <c r="F2" s="8"/>
      <c r="G2" s="9"/>
      <c r="H2" s="9"/>
      <c r="I2" s="9"/>
      <c r="J2" s="9"/>
      <c r="K2" s="9"/>
      <c r="L2" s="9"/>
      <c r="M2" s="9"/>
      <c r="N2" s="9"/>
      <c r="O2" s="9"/>
      <c r="P2" s="9"/>
      <c r="Q2" s="9"/>
      <c r="R2" s="8"/>
      <c r="S2" s="8"/>
      <c r="T2" s="29" t="s">
        <v>0</v>
      </c>
      <c r="U2" s="7"/>
      <c r="V2" s="7"/>
      <c r="W2" s="7"/>
      <c r="X2" s="7"/>
      <c r="Y2" s="7"/>
      <c r="Z2" s="7"/>
      <c r="AA2" s="7"/>
      <c r="AB2" s="7"/>
      <c r="AC2" s="7"/>
      <c r="AD2" s="7"/>
      <c r="AE2" s="7"/>
      <c r="AF2" s="7"/>
      <c r="AG2" s="7"/>
      <c r="AH2" s="7"/>
      <c r="AI2" s="7"/>
      <c r="AJ2" s="7"/>
      <c r="AK2" s="7"/>
      <c r="AL2" s="7"/>
      <c r="AM2" s="7"/>
      <c r="AN2" s="7"/>
      <c r="AO2" s="7"/>
      <c r="AP2" s="7"/>
    </row>
    <row r="3" spans="1:53">
      <c r="A3" s="7"/>
      <c r="B3" s="8"/>
      <c r="C3" s="8"/>
      <c r="D3" s="8"/>
      <c r="E3" s="8"/>
      <c r="F3" s="8"/>
      <c r="G3" s="9"/>
      <c r="H3" s="9"/>
      <c r="I3" s="9"/>
      <c r="J3" s="9"/>
      <c r="K3" s="9"/>
      <c r="L3" s="9"/>
      <c r="M3" s="9"/>
      <c r="N3" s="9"/>
      <c r="O3" s="9"/>
      <c r="P3" s="9"/>
      <c r="Q3" s="9"/>
      <c r="R3" s="8"/>
      <c r="S3" s="8"/>
      <c r="T3" s="16" t="s">
        <v>36</v>
      </c>
      <c r="U3" s="39">
        <f>COUNTIF(P40:P56,T3)</f>
        <v>0</v>
      </c>
      <c r="V3" s="7"/>
      <c r="W3" s="7"/>
      <c r="X3" s="7"/>
      <c r="Y3" s="7"/>
      <c r="Z3" s="7"/>
      <c r="AA3" s="7"/>
      <c r="AB3" s="7"/>
      <c r="AC3" s="7"/>
      <c r="AD3" s="7"/>
      <c r="AE3" s="7"/>
      <c r="AF3" s="7"/>
      <c r="AG3" s="7"/>
      <c r="AH3" s="7"/>
      <c r="AI3" s="7"/>
      <c r="AJ3" s="7"/>
      <c r="AK3" s="7"/>
      <c r="AL3" s="7"/>
      <c r="AM3" s="7"/>
      <c r="AN3" s="7"/>
      <c r="AO3" s="7"/>
      <c r="AP3" s="7"/>
    </row>
    <row r="4" spans="1:53">
      <c r="A4" s="7"/>
      <c r="B4" s="8"/>
      <c r="C4" s="8"/>
      <c r="D4" s="8"/>
      <c r="E4" s="8"/>
      <c r="F4" s="8"/>
      <c r="G4" s="9"/>
      <c r="H4" s="9"/>
      <c r="I4" s="9"/>
      <c r="J4" s="9"/>
      <c r="K4" s="9"/>
      <c r="L4" s="9"/>
      <c r="M4" s="9"/>
      <c r="N4" s="9"/>
      <c r="O4" s="9"/>
      <c r="P4" s="9"/>
      <c r="Q4" s="9"/>
      <c r="R4" s="8"/>
      <c r="S4" s="8"/>
      <c r="T4" s="16" t="s">
        <v>35</v>
      </c>
      <c r="U4" s="39">
        <f>COUNTIF(P40:P61,T4)</f>
        <v>0</v>
      </c>
      <c r="V4" s="7"/>
      <c r="W4" s="7"/>
      <c r="X4" s="7"/>
      <c r="Y4" s="7"/>
      <c r="Z4" s="7"/>
      <c r="AA4" s="7"/>
      <c r="AB4" s="7"/>
      <c r="AC4" s="7"/>
      <c r="AD4" s="7"/>
      <c r="AE4" s="7"/>
      <c r="AF4" s="7"/>
      <c r="AG4" s="7"/>
      <c r="AH4" s="7"/>
      <c r="AI4" s="7"/>
      <c r="AJ4" s="7"/>
      <c r="AK4" s="7"/>
      <c r="AL4" s="7"/>
      <c r="AM4" s="7"/>
      <c r="AN4" s="7"/>
      <c r="AO4" s="7"/>
      <c r="AP4" s="7"/>
    </row>
    <row r="5" spans="1:53">
      <c r="A5" s="7"/>
      <c r="B5" s="8"/>
      <c r="C5" s="8"/>
      <c r="D5" s="8"/>
      <c r="E5" s="8"/>
      <c r="F5" s="8"/>
      <c r="G5" s="9"/>
      <c r="H5" s="9"/>
      <c r="I5" s="9"/>
      <c r="J5" s="9"/>
      <c r="K5" s="9"/>
      <c r="L5" s="9"/>
      <c r="M5" s="9"/>
      <c r="N5" s="9"/>
      <c r="O5" s="9"/>
      <c r="P5" s="9"/>
      <c r="Q5" s="9"/>
      <c r="R5" s="8"/>
      <c r="S5" s="8"/>
      <c r="T5" s="16" t="s">
        <v>34</v>
      </c>
      <c r="U5" s="39">
        <f>COUNTIF(P40:P62,T5)</f>
        <v>0</v>
      </c>
      <c r="V5" s="7"/>
      <c r="W5" s="7"/>
      <c r="X5" s="7"/>
      <c r="Y5" s="7"/>
      <c r="Z5" s="7"/>
      <c r="AA5" s="7"/>
      <c r="AB5" s="7"/>
      <c r="AC5" s="7"/>
      <c r="AD5" s="7"/>
      <c r="AE5" s="7"/>
      <c r="AF5" s="7"/>
      <c r="AG5" s="7"/>
      <c r="AH5" s="7"/>
      <c r="AI5" s="7"/>
      <c r="AJ5" s="7"/>
      <c r="AK5" s="7"/>
      <c r="AL5" s="7"/>
      <c r="AM5" s="7"/>
      <c r="AN5" s="7"/>
      <c r="AO5" s="7"/>
      <c r="AP5" s="7"/>
    </row>
    <row r="6" spans="1:53">
      <c r="A6" s="7"/>
      <c r="B6" s="8"/>
      <c r="C6" s="8"/>
      <c r="D6" s="8"/>
      <c r="E6" s="8"/>
      <c r="F6" s="8"/>
      <c r="G6" s="9"/>
      <c r="H6" s="9"/>
      <c r="I6" s="9"/>
      <c r="J6" s="9"/>
      <c r="K6" s="9"/>
      <c r="L6" s="9"/>
      <c r="M6" s="9"/>
      <c r="N6" s="9"/>
      <c r="O6" s="9"/>
      <c r="P6" s="9"/>
      <c r="Q6" s="9"/>
      <c r="R6" s="8"/>
      <c r="S6" s="8"/>
      <c r="T6" s="16" t="s">
        <v>33</v>
      </c>
      <c r="U6" s="39">
        <f>COUNTIF(P40:P63,T6)</f>
        <v>0</v>
      </c>
      <c r="V6" s="7"/>
      <c r="W6" s="7"/>
      <c r="X6" s="7"/>
      <c r="Y6" s="7"/>
      <c r="Z6" s="7"/>
      <c r="AA6" s="7"/>
      <c r="AB6" s="7"/>
      <c r="AC6" s="7"/>
      <c r="AD6" s="7"/>
      <c r="AE6" s="7"/>
      <c r="AF6" s="7"/>
      <c r="AG6" s="7"/>
      <c r="AH6" s="7"/>
      <c r="AI6" s="7"/>
      <c r="AJ6" s="7"/>
      <c r="AK6" s="7"/>
      <c r="AL6" s="7"/>
      <c r="AM6" s="7"/>
      <c r="AN6" s="7"/>
      <c r="AO6" s="7"/>
      <c r="AP6" s="7"/>
    </row>
    <row r="7" spans="1:53">
      <c r="A7" s="7"/>
      <c r="B7" s="8"/>
      <c r="C7" s="8"/>
      <c r="D7" s="8"/>
      <c r="E7" s="8"/>
      <c r="F7" s="8"/>
      <c r="G7" s="9"/>
      <c r="H7" s="9"/>
      <c r="I7" s="9"/>
      <c r="J7" s="9"/>
      <c r="K7" s="9"/>
      <c r="L7" s="9"/>
      <c r="M7" s="9"/>
      <c r="N7" s="9"/>
      <c r="O7" s="9"/>
      <c r="P7" s="9"/>
      <c r="Q7" s="9"/>
      <c r="R7" s="8"/>
      <c r="S7" s="8"/>
      <c r="T7" s="16"/>
      <c r="U7" s="39">
        <f>COUNTIF(P40:P64,T7)</f>
        <v>0</v>
      </c>
      <c r="V7" s="7"/>
      <c r="W7" s="7"/>
      <c r="X7" s="7"/>
      <c r="Y7" s="7"/>
      <c r="Z7" s="7"/>
      <c r="AA7" s="7"/>
      <c r="AB7" s="7"/>
      <c r="AC7" s="7"/>
      <c r="AD7" s="7"/>
      <c r="AE7" s="7"/>
      <c r="AF7" s="7"/>
      <c r="AG7" s="7"/>
      <c r="AH7" s="7"/>
      <c r="AI7" s="7"/>
      <c r="AJ7" s="7"/>
      <c r="AK7" s="7"/>
      <c r="AL7" s="7"/>
      <c r="AM7" s="7"/>
      <c r="AN7" s="7"/>
      <c r="AO7" s="7"/>
      <c r="AP7" s="7"/>
    </row>
    <row r="8" spans="1:53">
      <c r="A8" s="7"/>
      <c r="B8" s="8"/>
      <c r="C8" s="8"/>
      <c r="D8" s="8"/>
      <c r="E8" s="8"/>
      <c r="F8" s="8"/>
      <c r="G8" s="9"/>
      <c r="H8" s="9"/>
      <c r="I8" s="9"/>
      <c r="J8" s="9"/>
      <c r="K8" s="9"/>
      <c r="L8" s="9"/>
      <c r="M8" s="9"/>
      <c r="N8" s="9"/>
      <c r="O8" s="9"/>
      <c r="P8" s="9"/>
      <c r="Q8" s="9"/>
      <c r="R8" s="8"/>
      <c r="S8" s="8"/>
      <c r="T8" s="16" t="s">
        <v>32</v>
      </c>
      <c r="U8" s="39">
        <f>SUM(U3:U7)</f>
        <v>0</v>
      </c>
      <c r="V8" s="7"/>
      <c r="W8" s="7"/>
      <c r="X8" s="7"/>
      <c r="Y8" s="7"/>
      <c r="Z8" s="7"/>
      <c r="AA8" s="7"/>
      <c r="AB8" s="7"/>
      <c r="AC8" s="7"/>
      <c r="AD8" s="7"/>
      <c r="AE8" s="7"/>
      <c r="AF8" s="7"/>
      <c r="AG8" s="7"/>
      <c r="AH8" s="7"/>
      <c r="AI8" s="7"/>
      <c r="AJ8" s="7"/>
      <c r="AK8" s="7"/>
      <c r="AL8" s="7"/>
      <c r="AM8" s="7"/>
      <c r="AN8" s="7"/>
      <c r="AO8" s="7"/>
      <c r="AP8" s="7"/>
    </row>
    <row r="9" spans="1:53" ht="15.75" thickBot="1">
      <c r="A9" s="7"/>
      <c r="B9" s="8"/>
      <c r="C9" s="8"/>
      <c r="D9" s="8"/>
      <c r="E9" s="8"/>
      <c r="F9" s="8"/>
      <c r="G9" s="9"/>
      <c r="H9" s="9"/>
      <c r="I9" s="9"/>
      <c r="J9" s="9"/>
      <c r="K9" s="9"/>
      <c r="L9" s="9"/>
      <c r="M9" s="9"/>
      <c r="N9" s="9"/>
      <c r="O9" s="9"/>
      <c r="P9" s="9"/>
      <c r="Q9" s="9"/>
      <c r="R9" s="8"/>
      <c r="S9" s="8"/>
      <c r="T9" s="29" t="s">
        <v>31</v>
      </c>
      <c r="U9" s="7"/>
      <c r="V9" s="7"/>
      <c r="W9" s="7"/>
      <c r="X9" s="7"/>
      <c r="Y9" s="7"/>
      <c r="Z9" s="7"/>
      <c r="AA9" s="7"/>
      <c r="AB9" s="7"/>
      <c r="AC9" s="7"/>
      <c r="AD9" s="7"/>
      <c r="AE9" s="7"/>
      <c r="AF9" s="7"/>
      <c r="AG9" s="7"/>
      <c r="AH9" s="7"/>
      <c r="AI9" s="7"/>
      <c r="AJ9" s="7"/>
      <c r="AK9" s="7"/>
      <c r="AL9" s="7"/>
      <c r="AM9" s="7"/>
      <c r="AN9" s="7"/>
      <c r="AO9" s="7"/>
      <c r="AP9" s="7"/>
    </row>
    <row r="10" spans="1:53">
      <c r="A10" s="7"/>
      <c r="B10" s="20" t="s">
        <v>53</v>
      </c>
      <c r="C10" s="19"/>
      <c r="D10" s="8"/>
      <c r="E10" s="8"/>
      <c r="F10" s="8"/>
      <c r="G10" s="9"/>
      <c r="H10" s="9"/>
      <c r="I10" s="9"/>
      <c r="J10" s="9"/>
      <c r="K10" s="9"/>
      <c r="L10" s="9"/>
      <c r="M10" s="9"/>
      <c r="N10" s="9"/>
      <c r="O10" s="9"/>
      <c r="P10" s="9"/>
      <c r="Q10" s="9"/>
      <c r="R10" s="8"/>
      <c r="S10" s="8"/>
      <c r="T10" s="35" t="s">
        <v>30</v>
      </c>
      <c r="U10" s="40" t="s">
        <v>48</v>
      </c>
      <c r="V10" s="41" t="s">
        <v>49</v>
      </c>
      <c r="W10" s="38">
        <f>DAY(L39)</f>
        <v>9</v>
      </c>
      <c r="X10" s="31">
        <f t="shared" ref="X10:BA10" si="0">IF(LEN(TRIM(M39)) &lt;&gt; 0, DAY(M39),"")</f>
        <v>10</v>
      </c>
      <c r="Y10" s="31">
        <f t="shared" si="0"/>
        <v>11</v>
      </c>
      <c r="Z10" s="31">
        <f t="shared" si="0"/>
        <v>12</v>
      </c>
      <c r="AA10" s="31">
        <f t="shared" si="0"/>
        <v>13</v>
      </c>
      <c r="AB10" s="31">
        <f t="shared" si="0"/>
        <v>14</v>
      </c>
      <c r="AC10" s="31">
        <f t="shared" si="0"/>
        <v>15</v>
      </c>
      <c r="AD10" s="31">
        <f t="shared" si="0"/>
        <v>16</v>
      </c>
      <c r="AE10" s="31">
        <f t="shared" si="0"/>
        <v>17</v>
      </c>
      <c r="AF10" s="31">
        <f t="shared" si="0"/>
        <v>18</v>
      </c>
      <c r="AG10" s="31">
        <f t="shared" si="0"/>
        <v>19</v>
      </c>
      <c r="AH10" s="31">
        <f t="shared" si="0"/>
        <v>20</v>
      </c>
      <c r="AI10" s="31" t="str">
        <f t="shared" si="0"/>
        <v/>
      </c>
      <c r="AJ10" s="31" t="str">
        <f t="shared" si="0"/>
        <v/>
      </c>
      <c r="AK10" s="31" t="str">
        <f t="shared" si="0"/>
        <v/>
      </c>
      <c r="AL10" s="31" t="str">
        <f t="shared" si="0"/>
        <v/>
      </c>
      <c r="AM10" s="31" t="str">
        <f t="shared" si="0"/>
        <v/>
      </c>
      <c r="AN10" s="31" t="str">
        <f t="shared" si="0"/>
        <v/>
      </c>
      <c r="AO10" s="31" t="str">
        <f t="shared" si="0"/>
        <v/>
      </c>
      <c r="AP10" s="31" t="str">
        <f t="shared" si="0"/>
        <v/>
      </c>
      <c r="AQ10" s="31" t="str">
        <f t="shared" si="0"/>
        <v/>
      </c>
      <c r="AR10" s="31" t="str">
        <f t="shared" si="0"/>
        <v/>
      </c>
      <c r="AS10" s="31" t="str">
        <f t="shared" si="0"/>
        <v/>
      </c>
      <c r="AT10" s="31" t="str">
        <f t="shared" si="0"/>
        <v/>
      </c>
      <c r="AU10" s="31" t="str">
        <f t="shared" si="0"/>
        <v/>
      </c>
      <c r="AV10" s="31" t="str">
        <f t="shared" si="0"/>
        <v/>
      </c>
      <c r="AW10" s="31" t="str">
        <f t="shared" si="0"/>
        <v/>
      </c>
      <c r="AX10" s="31" t="str">
        <f t="shared" si="0"/>
        <v/>
      </c>
      <c r="AY10" s="31" t="str">
        <f t="shared" si="0"/>
        <v/>
      </c>
      <c r="AZ10" s="31" t="str">
        <f>IF(LEN(TRIM(AO39)) &lt;&gt; 0, DAY(AO39),"")</f>
        <v/>
      </c>
      <c r="BA10" s="31" t="str">
        <f t="shared" si="0"/>
        <v/>
      </c>
    </row>
    <row r="11" spans="1:53">
      <c r="A11" s="7"/>
      <c r="B11" s="18" t="s">
        <v>55</v>
      </c>
      <c r="C11" s="42" t="str">
        <f ca="1">MID(CELL("Filename",A1),FIND("]",CELL("Filename",A1))+1,255)</f>
        <v>Sp2</v>
      </c>
      <c r="D11" s="8"/>
      <c r="E11" s="8"/>
      <c r="F11" s="8"/>
      <c r="G11" s="9"/>
      <c r="H11" s="9"/>
      <c r="I11" s="9"/>
      <c r="J11" s="9"/>
      <c r="K11" s="9"/>
      <c r="L11" s="9"/>
      <c r="M11" s="9"/>
      <c r="N11" s="9"/>
      <c r="O11" s="9"/>
      <c r="P11" s="9"/>
      <c r="Q11" s="9"/>
      <c r="R11" s="8"/>
      <c r="S11" s="8"/>
      <c r="T11" s="36" t="str">
        <f>Data!B2</f>
        <v>SungeunKim</v>
      </c>
      <c r="U11" s="54">
        <f ca="1">SUMIF($G$40:$I$232,$T11,$I$40:$I$232)</f>
        <v>0</v>
      </c>
      <c r="V11" s="55">
        <f ca="1">SUMIF($G$40:$J$232,$T11,$J$40:$J$232)</f>
        <v>0</v>
      </c>
      <c r="W11" s="56">
        <f ca="1">IF(LEN(TRIM(W$10))&lt;&gt;0, SUMIF($G$40:$AP$232,$T11,$L$40:$L$232),"")</f>
        <v>0</v>
      </c>
      <c r="X11" s="57">
        <f ca="1">IF(LEN(TRIM(X$10))&lt;&gt;0, SUMIF($G$40:$AP$232,$T11,$M$40:$M$232),"")</f>
        <v>0</v>
      </c>
      <c r="Y11" s="57">
        <f ca="1">IF(LEN(TRIM(Y$10))&lt;&gt;0, SUMIF($G$40:$AP$232,$T11,$N$40:$N$232),"")</f>
        <v>0</v>
      </c>
      <c r="Z11" s="57">
        <f ca="1">IF(LEN(TRIM(Z$10))&lt;&gt;0, SUMIF($G$40:$AP$232,$T11,$O$40:$O$232),"")</f>
        <v>0</v>
      </c>
      <c r="AA11" s="57">
        <f ca="1">IF(LEN(TRIM(AA$10))&lt;&gt;0, SUMIF($G$40:$AP$232,$T11,$P$40:$P$232),"")</f>
        <v>0</v>
      </c>
      <c r="AB11" s="57">
        <f ca="1">IF(LEN(TRIM(AB$10))&lt;&gt;0, SUMIF($G$40:$AP$232,$T11,$Q$40:$Q$232),"")</f>
        <v>0</v>
      </c>
      <c r="AC11" s="57">
        <f ca="1">IF(LEN(TRIM(AC$10))&lt;&gt;0, SUMIF($G$40:$AP$232,$T11,$R$40:$R$232),"")</f>
        <v>0</v>
      </c>
      <c r="AD11" s="57">
        <f ca="1">IF(LEN(TRIM(AD$10))&lt;&gt;0, SUMIF($G$40:$AP$232,$T11,$S$40:$S$232),"")</f>
        <v>0</v>
      </c>
      <c r="AE11" s="57">
        <f ca="1">IF(LEN(TRIM(AE$10))&lt;&gt;0, SUMIF($G$40:$AP$232,$T11,$T$40:$T$232),"")</f>
        <v>0</v>
      </c>
      <c r="AF11" s="57">
        <f ca="1">IF(LEN(TRIM(AF$10))&lt;&gt;0, SUMIF($G$40:$AP$232,$T11,$U$40:$U$232),"")</f>
        <v>0</v>
      </c>
      <c r="AG11" s="57">
        <f ca="1">IF(LEN(TRIM(AG$10))&lt;&gt;0, SUMIF($G$40:$AP$232,$T11,$V$40:$V$232),"")</f>
        <v>0</v>
      </c>
      <c r="AH11" s="57">
        <f ca="1">IF(LEN(TRIM(AH$10))&lt;&gt;0, SUMIF($G$40:$AP$232,$T11,$W$40:$W$232),"")</f>
        <v>0</v>
      </c>
      <c r="AI11" s="57" t="str">
        <f>IF(LEN(TRIM(AI$10))&lt;&gt;0, SUMIF($G$40:$AP$232,$T11,$X$40:$X$232),"")</f>
        <v/>
      </c>
      <c r="AJ11" s="57" t="str">
        <f>IF(LEN(TRIM(AJ$10))&lt;&gt;0, SUMIF($G$40:$AP$232,$T11,$Y$40:$Y$232),"")</f>
        <v/>
      </c>
      <c r="AK11" s="57" t="str">
        <f>IF(LEN(TRIM(AK$10))&lt;&gt;0, SUMIF($G$40:$AP$232,$T11,$Z$40:$Z$232),"")</f>
        <v/>
      </c>
      <c r="AL11" s="57" t="str">
        <f>IF(LEN(TRIM(AL$10))&lt;&gt;0, SUMIF($G$40:$AP$232,$T11,$AA$40:$AA$232),"")</f>
        <v/>
      </c>
      <c r="AM11" s="57" t="str">
        <f>IF(LEN(TRIM(AM$10))&lt;&gt;0, SUMIF($G$40:$AP$232,$T11,$AB$40:$AB$232),"")</f>
        <v/>
      </c>
      <c r="AN11" s="57" t="str">
        <f>IF(LEN(TRIM(AN$10))&lt;&gt;0, SUMIF($G$40:$AP$232,$T11,$AC$40:$AC$232),"")</f>
        <v/>
      </c>
      <c r="AO11" s="57" t="str">
        <f>IF(LEN(TRIM(AO$10))&lt;&gt;0, SUMIF($G$40:$AP$232,$T11,$AD$40:$AD$232),"")</f>
        <v/>
      </c>
      <c r="AP11" s="57" t="str">
        <f>IF(LEN(TRIM(AP$10))&lt;&gt;0, SUMIF($G$40:$AP$232,$T11,$AE$40:$AE$232),"")</f>
        <v/>
      </c>
      <c r="AQ11" s="57" t="str">
        <f>IF(LEN(TRIM(AQ$10))&lt;&gt;0, SUMIF($G$40:$AP$232,$T11,$AF$40:$AF$232),"")</f>
        <v/>
      </c>
      <c r="AR11" s="57" t="str">
        <f>IF(LEN(TRIM(AR$10))&lt;&gt;0, SUMIF($G$40:$AP$232,$T11,$AG$40:$AG$232),"")</f>
        <v/>
      </c>
      <c r="AS11" s="57" t="str">
        <f>IF(LEN(TRIM(AS$10))&lt;&gt;0, SUMIF($G$40:$AP$232,$T11,$AH$40:$AH$232),"")</f>
        <v/>
      </c>
      <c r="AT11" s="57" t="str">
        <f>IF(LEN(TRIM(AT$10))&lt;&gt;0, SUMIF($G$40:$AP$232,$T11,$AI$40:$AI$232),"")</f>
        <v/>
      </c>
      <c r="AU11" s="57" t="str">
        <f>IF(LEN(TRIM(AU$10))&lt;&gt;0, SUMIF($G$40:$AP$232,$T11,$AJ$40:$AJ$232),"")</f>
        <v/>
      </c>
      <c r="AV11" s="57" t="str">
        <f>IF(LEN(TRIM(AV$10))&lt;&gt;0, SUMIF($G$40:$AP$232,$T11,$AK$40:$AK$232),"")</f>
        <v/>
      </c>
      <c r="AW11" s="57" t="str">
        <f>IF(LEN(TRIM(AW$10))&lt;&gt;0, SUMIF($G$40:$AP$232,$T11,$AL$40:$AL$232),"")</f>
        <v/>
      </c>
      <c r="AX11" s="57" t="str">
        <f>IF(LEN(TRIM(AX$10))&lt;&gt;0, SUMIF($G$40:$AP$232,$T11,$AM$40:$AM$232),"")</f>
        <v/>
      </c>
      <c r="AY11" s="57" t="str">
        <f>IF(LEN(TRIM(AY$10))&lt;&gt;0, SUMIF($G$40:$AP$232,$T11,$AN$40:$AN$232),"")</f>
        <v/>
      </c>
      <c r="AZ11" s="57" t="str">
        <f>IF(LEN(TRIM(AZ$10))&lt;&gt;0, SUMIF($G$40:$AP$232,$T11,$AO$40:$AO$232),"")</f>
        <v/>
      </c>
      <c r="BA11" s="57" t="str">
        <f>IF(LEN(TRIM(BA$10))&lt;&gt;0, SUMIF($G$40:$AP$232,$T11,$AP$40:$AP$232),"")</f>
        <v/>
      </c>
    </row>
    <row r="12" spans="1:53">
      <c r="A12" s="7"/>
      <c r="B12" s="18" t="s">
        <v>50</v>
      </c>
      <c r="C12" s="42">
        <v>10</v>
      </c>
      <c r="D12" s="8"/>
      <c r="E12" s="8"/>
      <c r="F12" s="8"/>
      <c r="G12" s="9"/>
      <c r="H12" s="9"/>
      <c r="I12" s="9"/>
      <c r="J12" s="9"/>
      <c r="K12" s="9"/>
      <c r="L12" s="9"/>
      <c r="M12" s="9"/>
      <c r="N12" s="9"/>
      <c r="O12" s="9"/>
      <c r="P12" s="9"/>
      <c r="Q12" s="9"/>
      <c r="R12" s="8"/>
      <c r="S12" s="8"/>
      <c r="T12" s="36" t="str">
        <f>Data!B3</f>
        <v>TommyPark</v>
      </c>
      <c r="U12" s="54">
        <f t="shared" ref="U12:U22" ca="1" si="1">SUMIF($G$40:$I$232,$T12,$I$40:$I$232)</f>
        <v>0</v>
      </c>
      <c r="V12" s="55">
        <f t="shared" ref="V12:V22" ca="1" si="2">SUMIF($G$40:$J$232,$T12,$J$40:$J$232)</f>
        <v>0</v>
      </c>
      <c r="W12" s="56">
        <f t="shared" ref="W12:W22" ca="1" si="3">IF(LEN(TRIM(W$10))&lt;&gt;0, SUMIF($G$40:$AP$232,$T12,$L$40:$L$232),"")</f>
        <v>0</v>
      </c>
      <c r="X12" s="57">
        <f t="shared" ref="X12:X22" ca="1" si="4">IF(LEN(TRIM(X$10))&lt;&gt;0, SUMIF($G$40:$AP$232,$T12,$M$40:$M$232),"")</f>
        <v>0</v>
      </c>
      <c r="Y12" s="57">
        <f t="shared" ref="Y12:Y22" ca="1" si="5">IF(LEN(TRIM(Y$10))&lt;&gt;0, SUMIF($G$40:$AP$232,$T12,$N$40:$N$232),"")</f>
        <v>0</v>
      </c>
      <c r="Z12" s="57">
        <f t="shared" ref="Z12:Z22" ca="1" si="6">IF(LEN(TRIM(Z$10))&lt;&gt;0, SUMIF($G$40:$AP$232,$T12,$O$40:$O$232),"")</f>
        <v>0</v>
      </c>
      <c r="AA12" s="57">
        <f t="shared" ref="AA12:AA22" ca="1" si="7">IF(LEN(TRIM(AA$10))&lt;&gt;0, SUMIF($G$40:$AP$232,$T12,$P$40:$P$232),"")</f>
        <v>0</v>
      </c>
      <c r="AB12" s="57">
        <f t="shared" ref="AB12:AB22" ca="1" si="8">IF(LEN(TRIM(AB$10))&lt;&gt;0, SUMIF($G$40:$AP$232,$T12,$Q$40:$Q$232),"")</f>
        <v>0</v>
      </c>
      <c r="AC12" s="57">
        <f t="shared" ref="AC12:AC22" ca="1" si="9">IF(LEN(TRIM(AC$10))&lt;&gt;0, SUMIF($G$40:$AP$232,$T12,$R$40:$R$232),"")</f>
        <v>0</v>
      </c>
      <c r="AD12" s="57">
        <f t="shared" ref="AD12:AD22" ca="1" si="10">IF(LEN(TRIM(AD$10))&lt;&gt;0, SUMIF($G$40:$AP$232,$T12,$S$40:$S$232),"")</f>
        <v>0</v>
      </c>
      <c r="AE12" s="57">
        <f t="shared" ref="AE12:AE22" ca="1" si="11">IF(LEN(TRIM(AE$10))&lt;&gt;0, SUMIF($G$40:$AP$232,$T12,$T$40:$T$232),"")</f>
        <v>0</v>
      </c>
      <c r="AF12" s="57">
        <f t="shared" ref="AF12:AF22" ca="1" si="12">IF(LEN(TRIM(AF$10))&lt;&gt;0, SUMIF($G$40:$AP$232,$T12,$U$40:$U$232),"")</f>
        <v>0</v>
      </c>
      <c r="AG12" s="57">
        <f t="shared" ref="AG12:AG22" ca="1" si="13">IF(LEN(TRIM(AG$10))&lt;&gt;0, SUMIF($G$40:$AP$232,$T12,$V$40:$V$232),"")</f>
        <v>0</v>
      </c>
      <c r="AH12" s="57">
        <f t="shared" ref="AH12:AH22" ca="1" si="14">IF(LEN(TRIM(AH$10))&lt;&gt;0, SUMIF($G$40:$AP$232,$T12,$W$40:$W$232),"")</f>
        <v>0</v>
      </c>
      <c r="AI12" s="57" t="str">
        <f t="shared" ref="AI12:AI22" si="15">IF(LEN(TRIM(AI$10))&lt;&gt;0, SUMIF($G$40:$AP$232,$T12,$X$40:$X$232),"")</f>
        <v/>
      </c>
      <c r="AJ12" s="57" t="str">
        <f t="shared" ref="AJ12:AJ22" si="16">IF(LEN(TRIM(AJ$10))&lt;&gt;0, SUMIF($G$40:$AP$232,$T12,$Y$40:$Y$232),"")</f>
        <v/>
      </c>
      <c r="AK12" s="57" t="str">
        <f t="shared" ref="AK12:AK22" si="17">IF(LEN(TRIM(AK$10))&lt;&gt;0, SUMIF($G$40:$AP$232,$T12,$Z$40:$Z$232),"")</f>
        <v/>
      </c>
      <c r="AL12" s="57" t="str">
        <f t="shared" ref="AL12:AL22" si="18">IF(LEN(TRIM(AL$10))&lt;&gt;0, SUMIF($G$40:$AP$232,$T12,$AA$40:$AA$232),"")</f>
        <v/>
      </c>
      <c r="AM12" s="57" t="str">
        <f t="shared" ref="AM12:AM22" si="19">IF(LEN(TRIM(AM$10))&lt;&gt;0, SUMIF($G$40:$AP$232,$T12,$AB$40:$AB$232),"")</f>
        <v/>
      </c>
      <c r="AN12" s="57" t="str">
        <f t="shared" ref="AN12:AN22" si="20">IF(LEN(TRIM(AN$10))&lt;&gt;0, SUMIF($G$40:$AP$232,$T12,$AC$40:$AC$232),"")</f>
        <v/>
      </c>
      <c r="AO12" s="57" t="str">
        <f t="shared" ref="AO12:AO22" si="21">IF(LEN(TRIM(AO$10))&lt;&gt;0, SUMIF($G$40:$AP$232,$T12,$AD$40:$AD$232),"")</f>
        <v/>
      </c>
      <c r="AP12" s="57" t="str">
        <f t="shared" ref="AP12:AP22" si="22">IF(LEN(TRIM(AP$10))&lt;&gt;0, SUMIF($G$40:$AP$232,$T12,$AE$40:$AE$232),"")</f>
        <v/>
      </c>
      <c r="AQ12" s="57" t="str">
        <f t="shared" ref="AQ12:AQ22" si="23">IF(LEN(TRIM(AQ$10))&lt;&gt;0, SUMIF($G$40:$AP$232,$T12,$AF$40:$AF$232),"")</f>
        <v/>
      </c>
      <c r="AR12" s="57" t="str">
        <f t="shared" ref="AR12:AR22" si="24">IF(LEN(TRIM(AR$10))&lt;&gt;0, SUMIF($G$40:$AP$232,$T12,$AG$40:$AG$232),"")</f>
        <v/>
      </c>
      <c r="AS12" s="57" t="str">
        <f t="shared" ref="AS12:AS22" si="25">IF(LEN(TRIM(AS$10))&lt;&gt;0, SUMIF($G$40:$AP$232,$T12,$AH$40:$AH$232),"")</f>
        <v/>
      </c>
      <c r="AT12" s="57" t="str">
        <f t="shared" ref="AT12:AT22" si="26">IF(LEN(TRIM(AT$10))&lt;&gt;0, SUMIF($G$40:$AP$232,$T12,$AI$40:$AI$232),"")</f>
        <v/>
      </c>
      <c r="AU12" s="57" t="str">
        <f t="shared" ref="AU12:AU22" si="27">IF(LEN(TRIM(AU$10))&lt;&gt;0, SUMIF($G$40:$AP$232,$T12,$AJ$40:$AJ$232),"")</f>
        <v/>
      </c>
      <c r="AV12" s="57" t="str">
        <f t="shared" ref="AV12:AV22" si="28">IF(LEN(TRIM(AV$10))&lt;&gt;0, SUMIF($G$40:$AP$232,$T12,$AK$40:$AK$232),"")</f>
        <v/>
      </c>
      <c r="AW12" s="57" t="str">
        <f t="shared" ref="AW12:AW22" si="29">IF(LEN(TRIM(AW$10))&lt;&gt;0, SUMIF($G$40:$AP$232,$T12,$AL$40:$AL$232),"")</f>
        <v/>
      </c>
      <c r="AX12" s="57" t="str">
        <f t="shared" ref="AX12:AX22" si="30">IF(LEN(TRIM(AX$10))&lt;&gt;0, SUMIF($G$40:$AP$232,$T12,$AM$40:$AM$232),"")</f>
        <v/>
      </c>
      <c r="AY12" s="57" t="str">
        <f t="shared" ref="AY12:AY22" si="31">IF(LEN(TRIM(AY$10))&lt;&gt;0, SUMIF($G$40:$AP$232,$T12,$AN$40:$AN$232),"")</f>
        <v/>
      </c>
      <c r="AZ12" s="57" t="str">
        <f t="shared" ref="AZ12:AZ22" si="32">IF(LEN(TRIM(AZ$10))&lt;&gt;0, SUMIF($G$40:$AP$232,$T12,$AO$40:$AO$232),"")</f>
        <v/>
      </c>
      <c r="BA12" s="57" t="str">
        <f t="shared" ref="BA12:BA22" si="33">IF(LEN(TRIM(BA$10))&lt;&gt;0, SUMIF($G$40:$AP$232,$T12,$AP$40:$AP$232),"")</f>
        <v/>
      </c>
    </row>
    <row r="13" spans="1:53">
      <c r="A13" s="7"/>
      <c r="B13" s="18" t="s">
        <v>51</v>
      </c>
      <c r="C13" s="46">
        <v>41799</v>
      </c>
      <c r="D13" s="8"/>
      <c r="E13" s="8"/>
      <c r="F13" s="8"/>
      <c r="G13" s="9"/>
      <c r="H13" s="9"/>
      <c r="I13" s="9"/>
      <c r="J13" s="9"/>
      <c r="K13" s="9"/>
      <c r="L13" s="9"/>
      <c r="M13" s="9"/>
      <c r="N13" s="9"/>
      <c r="O13" s="9"/>
      <c r="P13" s="9"/>
      <c r="Q13" s="9"/>
      <c r="R13" s="8"/>
      <c r="S13" s="8"/>
      <c r="T13" s="36" t="str">
        <f>Data!B4</f>
        <v>Vijay</v>
      </c>
      <c r="U13" s="54">
        <f t="shared" ca="1" si="1"/>
        <v>0</v>
      </c>
      <c r="V13" s="55">
        <f t="shared" ca="1" si="2"/>
        <v>0</v>
      </c>
      <c r="W13" s="56">
        <f t="shared" ca="1" si="3"/>
        <v>0</v>
      </c>
      <c r="X13" s="57">
        <f t="shared" ca="1" si="4"/>
        <v>0</v>
      </c>
      <c r="Y13" s="57">
        <f t="shared" ca="1" si="5"/>
        <v>0</v>
      </c>
      <c r="Z13" s="57">
        <f t="shared" ca="1" si="6"/>
        <v>0</v>
      </c>
      <c r="AA13" s="57">
        <f t="shared" ca="1" si="7"/>
        <v>0</v>
      </c>
      <c r="AB13" s="57">
        <f t="shared" ca="1" si="8"/>
        <v>0</v>
      </c>
      <c r="AC13" s="57">
        <f t="shared" ca="1" si="9"/>
        <v>0</v>
      </c>
      <c r="AD13" s="57">
        <f t="shared" ca="1" si="10"/>
        <v>0</v>
      </c>
      <c r="AE13" s="57">
        <f t="shared" ca="1" si="11"/>
        <v>0</v>
      </c>
      <c r="AF13" s="57">
        <f t="shared" ca="1" si="12"/>
        <v>0</v>
      </c>
      <c r="AG13" s="57">
        <f t="shared" ca="1" si="13"/>
        <v>0</v>
      </c>
      <c r="AH13" s="57">
        <f t="shared" ca="1" si="14"/>
        <v>0</v>
      </c>
      <c r="AI13" s="57" t="str">
        <f t="shared" si="15"/>
        <v/>
      </c>
      <c r="AJ13" s="57" t="str">
        <f t="shared" si="16"/>
        <v/>
      </c>
      <c r="AK13" s="57" t="str">
        <f t="shared" si="17"/>
        <v/>
      </c>
      <c r="AL13" s="57" t="str">
        <f t="shared" si="18"/>
        <v/>
      </c>
      <c r="AM13" s="57" t="str">
        <f t="shared" si="19"/>
        <v/>
      </c>
      <c r="AN13" s="57" t="str">
        <f t="shared" si="20"/>
        <v/>
      </c>
      <c r="AO13" s="57" t="str">
        <f t="shared" si="21"/>
        <v/>
      </c>
      <c r="AP13" s="57" t="str">
        <f t="shared" si="22"/>
        <v/>
      </c>
      <c r="AQ13" s="57" t="str">
        <f t="shared" si="23"/>
        <v/>
      </c>
      <c r="AR13" s="57" t="str">
        <f t="shared" si="24"/>
        <v/>
      </c>
      <c r="AS13" s="57" t="str">
        <f t="shared" si="25"/>
        <v/>
      </c>
      <c r="AT13" s="57" t="str">
        <f t="shared" si="26"/>
        <v/>
      </c>
      <c r="AU13" s="57" t="str">
        <f t="shared" si="27"/>
        <v/>
      </c>
      <c r="AV13" s="57" t="str">
        <f t="shared" si="28"/>
        <v/>
      </c>
      <c r="AW13" s="57" t="str">
        <f t="shared" si="29"/>
        <v/>
      </c>
      <c r="AX13" s="57" t="str">
        <f t="shared" si="30"/>
        <v/>
      </c>
      <c r="AY13" s="57" t="str">
        <f t="shared" si="31"/>
        <v/>
      </c>
      <c r="AZ13" s="57" t="str">
        <f t="shared" si="32"/>
        <v/>
      </c>
      <c r="BA13" s="57" t="str">
        <f t="shared" si="33"/>
        <v/>
      </c>
    </row>
    <row r="14" spans="1:53">
      <c r="A14" s="7"/>
      <c r="B14" s="18" t="s">
        <v>52</v>
      </c>
      <c r="C14" s="46">
        <v>41810</v>
      </c>
      <c r="D14" s="8"/>
      <c r="E14" s="8"/>
      <c r="F14" s="8"/>
      <c r="G14" s="9"/>
      <c r="H14" s="9"/>
      <c r="I14" s="9"/>
      <c r="J14" s="9"/>
      <c r="K14" s="9"/>
      <c r="L14" s="9"/>
      <c r="M14" s="9"/>
      <c r="N14" s="9"/>
      <c r="O14" s="9"/>
      <c r="P14" s="9"/>
      <c r="Q14" s="9"/>
      <c r="R14" s="8"/>
      <c r="S14" s="8"/>
      <c r="T14" s="36" t="str">
        <f>Data!B5</f>
        <v>ByungseonShin</v>
      </c>
      <c r="U14" s="54">
        <f t="shared" ca="1" si="1"/>
        <v>0</v>
      </c>
      <c r="V14" s="55">
        <f t="shared" ca="1" si="2"/>
        <v>0</v>
      </c>
      <c r="W14" s="56">
        <f t="shared" ca="1" si="3"/>
        <v>0</v>
      </c>
      <c r="X14" s="57">
        <f t="shared" ca="1" si="4"/>
        <v>0</v>
      </c>
      <c r="Y14" s="57">
        <f t="shared" ca="1" si="5"/>
        <v>0</v>
      </c>
      <c r="Z14" s="57">
        <f t="shared" ca="1" si="6"/>
        <v>0</v>
      </c>
      <c r="AA14" s="57">
        <f t="shared" ca="1" si="7"/>
        <v>0</v>
      </c>
      <c r="AB14" s="57">
        <f t="shared" ca="1" si="8"/>
        <v>0</v>
      </c>
      <c r="AC14" s="57">
        <f t="shared" ca="1" si="9"/>
        <v>0</v>
      </c>
      <c r="AD14" s="57">
        <f t="shared" ca="1" si="10"/>
        <v>0</v>
      </c>
      <c r="AE14" s="57">
        <f t="shared" ca="1" si="11"/>
        <v>0</v>
      </c>
      <c r="AF14" s="57">
        <f t="shared" ca="1" si="12"/>
        <v>0</v>
      </c>
      <c r="AG14" s="57">
        <f t="shared" ca="1" si="13"/>
        <v>0</v>
      </c>
      <c r="AH14" s="57">
        <f t="shared" ca="1" si="14"/>
        <v>0</v>
      </c>
      <c r="AI14" s="57" t="str">
        <f t="shared" si="15"/>
        <v/>
      </c>
      <c r="AJ14" s="57" t="str">
        <f t="shared" si="16"/>
        <v/>
      </c>
      <c r="AK14" s="57" t="str">
        <f t="shared" si="17"/>
        <v/>
      </c>
      <c r="AL14" s="57" t="str">
        <f t="shared" si="18"/>
        <v/>
      </c>
      <c r="AM14" s="57" t="str">
        <f t="shared" si="19"/>
        <v/>
      </c>
      <c r="AN14" s="57" t="str">
        <f t="shared" si="20"/>
        <v/>
      </c>
      <c r="AO14" s="57" t="str">
        <f t="shared" si="21"/>
        <v/>
      </c>
      <c r="AP14" s="57" t="str">
        <f t="shared" si="22"/>
        <v/>
      </c>
      <c r="AQ14" s="57" t="str">
        <f t="shared" si="23"/>
        <v/>
      </c>
      <c r="AR14" s="57" t="str">
        <f t="shared" si="24"/>
        <v/>
      </c>
      <c r="AS14" s="57" t="str">
        <f t="shared" si="25"/>
        <v/>
      </c>
      <c r="AT14" s="57" t="str">
        <f t="shared" si="26"/>
        <v/>
      </c>
      <c r="AU14" s="57" t="str">
        <f t="shared" si="27"/>
        <v/>
      </c>
      <c r="AV14" s="57" t="str">
        <f t="shared" si="28"/>
        <v/>
      </c>
      <c r="AW14" s="57" t="str">
        <f t="shared" si="29"/>
        <v/>
      </c>
      <c r="AX14" s="57" t="str">
        <f t="shared" si="30"/>
        <v/>
      </c>
      <c r="AY14" s="57" t="str">
        <f t="shared" si="31"/>
        <v/>
      </c>
      <c r="AZ14" s="57" t="str">
        <f t="shared" si="32"/>
        <v/>
      </c>
      <c r="BA14" s="57" t="str">
        <f t="shared" si="33"/>
        <v/>
      </c>
    </row>
    <row r="15" spans="1:53">
      <c r="A15" s="7"/>
      <c r="B15" s="17" t="s">
        <v>66</v>
      </c>
      <c r="C15" s="17">
        <f>SUM(I40:I232)</f>
        <v>0</v>
      </c>
      <c r="D15" s="8"/>
      <c r="E15" s="8"/>
      <c r="F15" s="8"/>
      <c r="G15" s="9"/>
      <c r="H15" s="9"/>
      <c r="I15" s="9"/>
      <c r="J15" s="9"/>
      <c r="K15" s="9"/>
      <c r="L15" s="9"/>
      <c r="M15" s="9"/>
      <c r="N15" s="9"/>
      <c r="O15" s="9"/>
      <c r="P15" s="9"/>
      <c r="Q15" s="9"/>
      <c r="R15" s="8"/>
      <c r="S15" s="8"/>
      <c r="T15" s="36" t="str">
        <f>Data!B6</f>
        <v>JugwanEom</v>
      </c>
      <c r="U15" s="54">
        <f t="shared" ca="1" si="1"/>
        <v>0</v>
      </c>
      <c r="V15" s="55">
        <f t="shared" ca="1" si="2"/>
        <v>0</v>
      </c>
      <c r="W15" s="56">
        <f t="shared" ca="1" si="3"/>
        <v>0</v>
      </c>
      <c r="X15" s="57">
        <f t="shared" ca="1" si="4"/>
        <v>0</v>
      </c>
      <c r="Y15" s="57">
        <f t="shared" ca="1" si="5"/>
        <v>0</v>
      </c>
      <c r="Z15" s="57">
        <f t="shared" ca="1" si="6"/>
        <v>0</v>
      </c>
      <c r="AA15" s="57">
        <f t="shared" ca="1" si="7"/>
        <v>0</v>
      </c>
      <c r="AB15" s="57">
        <f t="shared" ca="1" si="8"/>
        <v>0</v>
      </c>
      <c r="AC15" s="57">
        <f t="shared" ca="1" si="9"/>
        <v>0</v>
      </c>
      <c r="AD15" s="57">
        <f t="shared" ca="1" si="10"/>
        <v>0</v>
      </c>
      <c r="AE15" s="57">
        <f t="shared" ca="1" si="11"/>
        <v>0</v>
      </c>
      <c r="AF15" s="57">
        <f t="shared" ca="1" si="12"/>
        <v>0</v>
      </c>
      <c r="AG15" s="57">
        <f t="shared" ca="1" si="13"/>
        <v>0</v>
      </c>
      <c r="AH15" s="57">
        <f t="shared" ca="1" si="14"/>
        <v>0</v>
      </c>
      <c r="AI15" s="57" t="str">
        <f t="shared" si="15"/>
        <v/>
      </c>
      <c r="AJ15" s="57" t="str">
        <f t="shared" si="16"/>
        <v/>
      </c>
      <c r="AK15" s="57" t="str">
        <f t="shared" si="17"/>
        <v/>
      </c>
      <c r="AL15" s="57" t="str">
        <f t="shared" si="18"/>
        <v/>
      </c>
      <c r="AM15" s="57" t="str">
        <f t="shared" si="19"/>
        <v/>
      </c>
      <c r="AN15" s="57" t="str">
        <f t="shared" si="20"/>
        <v/>
      </c>
      <c r="AO15" s="57" t="str">
        <f t="shared" si="21"/>
        <v/>
      </c>
      <c r="AP15" s="57" t="str">
        <f t="shared" si="22"/>
        <v/>
      </c>
      <c r="AQ15" s="57" t="str">
        <f t="shared" si="23"/>
        <v/>
      </c>
      <c r="AR15" s="57" t="str">
        <f t="shared" si="24"/>
        <v/>
      </c>
      <c r="AS15" s="57" t="str">
        <f t="shared" si="25"/>
        <v/>
      </c>
      <c r="AT15" s="57" t="str">
        <f t="shared" si="26"/>
        <v/>
      </c>
      <c r="AU15" s="57" t="str">
        <f t="shared" si="27"/>
        <v/>
      </c>
      <c r="AV15" s="57" t="str">
        <f t="shared" si="28"/>
        <v/>
      </c>
      <c r="AW15" s="57" t="str">
        <f t="shared" si="29"/>
        <v/>
      </c>
      <c r="AX15" s="57" t="str">
        <f t="shared" si="30"/>
        <v/>
      </c>
      <c r="AY15" s="57" t="str">
        <f t="shared" si="31"/>
        <v/>
      </c>
      <c r="AZ15" s="57" t="str">
        <f t="shared" si="32"/>
        <v/>
      </c>
      <c r="BA15" s="57" t="str">
        <f t="shared" si="33"/>
        <v/>
      </c>
    </row>
    <row r="16" spans="1:53">
      <c r="A16" s="7"/>
      <c r="B16" s="27" t="s">
        <v>67</v>
      </c>
      <c r="C16" s="62">
        <f>SUM(J40:J232)</f>
        <v>51</v>
      </c>
      <c r="D16" s="8"/>
      <c r="E16" s="8"/>
      <c r="F16" s="8"/>
      <c r="G16" s="9"/>
      <c r="H16" s="9"/>
      <c r="I16" s="9"/>
      <c r="J16" s="9"/>
      <c r="K16" s="9"/>
      <c r="L16" s="9"/>
      <c r="M16" s="9"/>
      <c r="N16" s="9"/>
      <c r="O16" s="9"/>
      <c r="P16" s="9"/>
      <c r="Q16" s="9"/>
      <c r="R16" s="8"/>
      <c r="S16" s="8"/>
      <c r="T16" s="36" t="str">
        <f>Data!B7</f>
        <v>JinyoungDu</v>
      </c>
      <c r="U16" s="54">
        <f t="shared" ca="1" si="1"/>
        <v>0</v>
      </c>
      <c r="V16" s="55">
        <f t="shared" ca="1" si="2"/>
        <v>0</v>
      </c>
      <c r="W16" s="56">
        <f t="shared" ca="1" si="3"/>
        <v>0</v>
      </c>
      <c r="X16" s="57">
        <f t="shared" ca="1" si="4"/>
        <v>0</v>
      </c>
      <c r="Y16" s="57">
        <f t="shared" ca="1" si="5"/>
        <v>0</v>
      </c>
      <c r="Z16" s="57">
        <f t="shared" ca="1" si="6"/>
        <v>0</v>
      </c>
      <c r="AA16" s="57">
        <f t="shared" ca="1" si="7"/>
        <v>0</v>
      </c>
      <c r="AB16" s="57">
        <f t="shared" ca="1" si="8"/>
        <v>0</v>
      </c>
      <c r="AC16" s="57">
        <f t="shared" ca="1" si="9"/>
        <v>0</v>
      </c>
      <c r="AD16" s="57">
        <f t="shared" ca="1" si="10"/>
        <v>0</v>
      </c>
      <c r="AE16" s="57">
        <f t="shared" ca="1" si="11"/>
        <v>0</v>
      </c>
      <c r="AF16" s="57">
        <f t="shared" ca="1" si="12"/>
        <v>0</v>
      </c>
      <c r="AG16" s="57">
        <f t="shared" ca="1" si="13"/>
        <v>0</v>
      </c>
      <c r="AH16" s="57">
        <f t="shared" ca="1" si="14"/>
        <v>0</v>
      </c>
      <c r="AI16" s="57" t="str">
        <f t="shared" si="15"/>
        <v/>
      </c>
      <c r="AJ16" s="57" t="str">
        <f t="shared" si="16"/>
        <v/>
      </c>
      <c r="AK16" s="57" t="str">
        <f t="shared" si="17"/>
        <v/>
      </c>
      <c r="AL16" s="57" t="str">
        <f t="shared" si="18"/>
        <v/>
      </c>
      <c r="AM16" s="57" t="str">
        <f t="shared" si="19"/>
        <v/>
      </c>
      <c r="AN16" s="57" t="str">
        <f t="shared" si="20"/>
        <v/>
      </c>
      <c r="AO16" s="57" t="str">
        <f t="shared" si="21"/>
        <v/>
      </c>
      <c r="AP16" s="57" t="str">
        <f t="shared" si="22"/>
        <v/>
      </c>
      <c r="AQ16" s="57" t="str">
        <f t="shared" si="23"/>
        <v/>
      </c>
      <c r="AR16" s="57" t="str">
        <f t="shared" si="24"/>
        <v/>
      </c>
      <c r="AS16" s="57" t="str">
        <f t="shared" si="25"/>
        <v/>
      </c>
      <c r="AT16" s="57" t="str">
        <f t="shared" si="26"/>
        <v/>
      </c>
      <c r="AU16" s="57" t="str">
        <f t="shared" si="27"/>
        <v/>
      </c>
      <c r="AV16" s="57" t="str">
        <f t="shared" si="28"/>
        <v/>
      </c>
      <c r="AW16" s="57" t="str">
        <f t="shared" si="29"/>
        <v/>
      </c>
      <c r="AX16" s="57" t="str">
        <f t="shared" si="30"/>
        <v/>
      </c>
      <c r="AY16" s="57" t="str">
        <f t="shared" si="31"/>
        <v/>
      </c>
      <c r="AZ16" s="57" t="str">
        <f t="shared" si="32"/>
        <v/>
      </c>
      <c r="BA16" s="57" t="str">
        <f t="shared" si="33"/>
        <v/>
      </c>
    </row>
    <row r="17" spans="1:53">
      <c r="A17" s="7"/>
      <c r="B17" s="8"/>
      <c r="C17" s="8"/>
      <c r="D17" s="8"/>
      <c r="E17" s="8"/>
      <c r="F17" s="8"/>
      <c r="G17" s="9"/>
      <c r="H17" s="9"/>
      <c r="I17" s="9"/>
      <c r="J17" s="9"/>
      <c r="K17" s="9"/>
      <c r="L17" s="9"/>
      <c r="M17" s="9"/>
      <c r="N17" s="9"/>
      <c r="O17" s="9"/>
      <c r="P17" s="9"/>
      <c r="Q17" s="9"/>
      <c r="R17" s="8"/>
      <c r="S17" s="8"/>
      <c r="T17" s="36"/>
      <c r="U17" s="54">
        <f t="shared" ca="1" si="1"/>
        <v>0</v>
      </c>
      <c r="V17" s="55">
        <f t="shared" ca="1" si="2"/>
        <v>0</v>
      </c>
      <c r="W17" s="56">
        <f t="shared" ca="1" si="3"/>
        <v>0</v>
      </c>
      <c r="X17" s="57">
        <f t="shared" ca="1" si="4"/>
        <v>0</v>
      </c>
      <c r="Y17" s="57">
        <f t="shared" ca="1" si="5"/>
        <v>0</v>
      </c>
      <c r="Z17" s="57">
        <f t="shared" ca="1" si="6"/>
        <v>0</v>
      </c>
      <c r="AA17" s="57">
        <f t="shared" ca="1" si="7"/>
        <v>0</v>
      </c>
      <c r="AB17" s="57">
        <f t="shared" ca="1" si="8"/>
        <v>0</v>
      </c>
      <c r="AC17" s="57">
        <f t="shared" ca="1" si="9"/>
        <v>0</v>
      </c>
      <c r="AD17" s="57">
        <f t="shared" ca="1" si="10"/>
        <v>0</v>
      </c>
      <c r="AE17" s="57">
        <f t="shared" ca="1" si="11"/>
        <v>0</v>
      </c>
      <c r="AF17" s="57">
        <f t="shared" ca="1" si="12"/>
        <v>0</v>
      </c>
      <c r="AG17" s="57">
        <f t="shared" ca="1" si="13"/>
        <v>0</v>
      </c>
      <c r="AH17" s="57">
        <f t="shared" ca="1" si="14"/>
        <v>0</v>
      </c>
      <c r="AI17" s="57" t="str">
        <f t="shared" si="15"/>
        <v/>
      </c>
      <c r="AJ17" s="57" t="str">
        <f t="shared" si="16"/>
        <v/>
      </c>
      <c r="AK17" s="57" t="str">
        <f t="shared" si="17"/>
        <v/>
      </c>
      <c r="AL17" s="57" t="str">
        <f t="shared" si="18"/>
        <v/>
      </c>
      <c r="AM17" s="57" t="str">
        <f t="shared" si="19"/>
        <v/>
      </c>
      <c r="AN17" s="57" t="str">
        <f t="shared" si="20"/>
        <v/>
      </c>
      <c r="AO17" s="57" t="str">
        <f t="shared" si="21"/>
        <v/>
      </c>
      <c r="AP17" s="57" t="str">
        <f t="shared" si="22"/>
        <v/>
      </c>
      <c r="AQ17" s="57" t="str">
        <f t="shared" si="23"/>
        <v/>
      </c>
      <c r="AR17" s="57" t="str">
        <f t="shared" si="24"/>
        <v/>
      </c>
      <c r="AS17" s="57" t="str">
        <f t="shared" si="25"/>
        <v/>
      </c>
      <c r="AT17" s="57" t="str">
        <f t="shared" si="26"/>
        <v/>
      </c>
      <c r="AU17" s="57" t="str">
        <f t="shared" si="27"/>
        <v/>
      </c>
      <c r="AV17" s="57" t="str">
        <f t="shared" si="28"/>
        <v/>
      </c>
      <c r="AW17" s="57" t="str">
        <f t="shared" si="29"/>
        <v/>
      </c>
      <c r="AX17" s="57" t="str">
        <f t="shared" si="30"/>
        <v/>
      </c>
      <c r="AY17" s="57" t="str">
        <f t="shared" si="31"/>
        <v/>
      </c>
      <c r="AZ17" s="57" t="str">
        <f t="shared" si="32"/>
        <v/>
      </c>
      <c r="BA17" s="57" t="str">
        <f t="shared" si="33"/>
        <v/>
      </c>
    </row>
    <row r="18" spans="1:53">
      <c r="A18" s="7"/>
      <c r="B18" s="8"/>
      <c r="C18" s="8"/>
      <c r="D18" s="8"/>
      <c r="E18" s="8"/>
      <c r="F18" s="8"/>
      <c r="G18" s="9"/>
      <c r="H18" s="9"/>
      <c r="I18" s="9"/>
      <c r="J18" s="9"/>
      <c r="K18" s="9"/>
      <c r="L18" s="9"/>
      <c r="M18" s="9"/>
      <c r="N18" s="9"/>
      <c r="O18" s="9"/>
      <c r="P18" s="9"/>
      <c r="Q18" s="9"/>
      <c r="R18" s="8"/>
      <c r="S18" s="8"/>
      <c r="T18" s="36"/>
      <c r="U18" s="54">
        <f t="shared" ca="1" si="1"/>
        <v>0</v>
      </c>
      <c r="V18" s="55">
        <f t="shared" ca="1" si="2"/>
        <v>0</v>
      </c>
      <c r="W18" s="56">
        <f t="shared" ca="1" si="3"/>
        <v>0</v>
      </c>
      <c r="X18" s="57">
        <f t="shared" ca="1" si="4"/>
        <v>0</v>
      </c>
      <c r="Y18" s="57">
        <f t="shared" ca="1" si="5"/>
        <v>0</v>
      </c>
      <c r="Z18" s="57">
        <f t="shared" ca="1" si="6"/>
        <v>0</v>
      </c>
      <c r="AA18" s="57">
        <f t="shared" ca="1" si="7"/>
        <v>0</v>
      </c>
      <c r="AB18" s="57">
        <f t="shared" ca="1" si="8"/>
        <v>0</v>
      </c>
      <c r="AC18" s="57">
        <f t="shared" ca="1" si="9"/>
        <v>0</v>
      </c>
      <c r="AD18" s="57">
        <f t="shared" ca="1" si="10"/>
        <v>0</v>
      </c>
      <c r="AE18" s="57">
        <f t="shared" ca="1" si="11"/>
        <v>0</v>
      </c>
      <c r="AF18" s="57">
        <f t="shared" ca="1" si="12"/>
        <v>0</v>
      </c>
      <c r="AG18" s="57">
        <f t="shared" ca="1" si="13"/>
        <v>0</v>
      </c>
      <c r="AH18" s="57">
        <f t="shared" ca="1" si="14"/>
        <v>0</v>
      </c>
      <c r="AI18" s="57" t="str">
        <f t="shared" si="15"/>
        <v/>
      </c>
      <c r="AJ18" s="57" t="str">
        <f t="shared" si="16"/>
        <v/>
      </c>
      <c r="AK18" s="57" t="str">
        <f t="shared" si="17"/>
        <v/>
      </c>
      <c r="AL18" s="57" t="str">
        <f t="shared" si="18"/>
        <v/>
      </c>
      <c r="AM18" s="57" t="str">
        <f t="shared" si="19"/>
        <v/>
      </c>
      <c r="AN18" s="57" t="str">
        <f t="shared" si="20"/>
        <v/>
      </c>
      <c r="AO18" s="57" t="str">
        <f t="shared" si="21"/>
        <v/>
      </c>
      <c r="AP18" s="57" t="str">
        <f t="shared" si="22"/>
        <v/>
      </c>
      <c r="AQ18" s="57" t="str">
        <f t="shared" si="23"/>
        <v/>
      </c>
      <c r="AR18" s="57" t="str">
        <f t="shared" si="24"/>
        <v/>
      </c>
      <c r="AS18" s="57" t="str">
        <f t="shared" si="25"/>
        <v/>
      </c>
      <c r="AT18" s="57" t="str">
        <f t="shared" si="26"/>
        <v/>
      </c>
      <c r="AU18" s="57" t="str">
        <f t="shared" si="27"/>
        <v/>
      </c>
      <c r="AV18" s="57" t="str">
        <f t="shared" si="28"/>
        <v/>
      </c>
      <c r="AW18" s="57" t="str">
        <f t="shared" si="29"/>
        <v/>
      </c>
      <c r="AX18" s="57" t="str">
        <f t="shared" si="30"/>
        <v/>
      </c>
      <c r="AY18" s="57" t="str">
        <f t="shared" si="31"/>
        <v/>
      </c>
      <c r="AZ18" s="57" t="str">
        <f t="shared" si="32"/>
        <v/>
      </c>
      <c r="BA18" s="57" t="str">
        <f t="shared" si="33"/>
        <v/>
      </c>
    </row>
    <row r="19" spans="1:53">
      <c r="A19" s="7"/>
      <c r="B19" s="8"/>
      <c r="C19" s="8"/>
      <c r="D19" s="8"/>
      <c r="E19" s="8"/>
      <c r="F19" s="8"/>
      <c r="G19" s="9"/>
      <c r="H19" s="9"/>
      <c r="I19" s="9"/>
      <c r="J19" s="9"/>
      <c r="K19" s="9"/>
      <c r="L19" s="9"/>
      <c r="M19" s="9"/>
      <c r="N19" s="9"/>
      <c r="O19" s="9"/>
      <c r="P19" s="9"/>
      <c r="Q19" s="9"/>
      <c r="R19" s="8"/>
      <c r="S19" s="8"/>
      <c r="T19" s="36"/>
      <c r="U19" s="54">
        <f t="shared" ca="1" si="1"/>
        <v>0</v>
      </c>
      <c r="V19" s="55">
        <f t="shared" ca="1" si="2"/>
        <v>0</v>
      </c>
      <c r="W19" s="56">
        <f t="shared" ca="1" si="3"/>
        <v>0</v>
      </c>
      <c r="X19" s="57">
        <f t="shared" ca="1" si="4"/>
        <v>0</v>
      </c>
      <c r="Y19" s="57">
        <f t="shared" ca="1" si="5"/>
        <v>0</v>
      </c>
      <c r="Z19" s="57">
        <f t="shared" ca="1" si="6"/>
        <v>0</v>
      </c>
      <c r="AA19" s="57">
        <f t="shared" ca="1" si="7"/>
        <v>0</v>
      </c>
      <c r="AB19" s="57">
        <f t="shared" ca="1" si="8"/>
        <v>0</v>
      </c>
      <c r="AC19" s="57">
        <f t="shared" ca="1" si="9"/>
        <v>0</v>
      </c>
      <c r="AD19" s="57">
        <f t="shared" ca="1" si="10"/>
        <v>0</v>
      </c>
      <c r="AE19" s="57">
        <f t="shared" ca="1" si="11"/>
        <v>0</v>
      </c>
      <c r="AF19" s="57">
        <f t="shared" ca="1" si="12"/>
        <v>0</v>
      </c>
      <c r="AG19" s="57">
        <f t="shared" ca="1" si="13"/>
        <v>0</v>
      </c>
      <c r="AH19" s="57">
        <f t="shared" ca="1" si="14"/>
        <v>0</v>
      </c>
      <c r="AI19" s="57" t="str">
        <f t="shared" si="15"/>
        <v/>
      </c>
      <c r="AJ19" s="57" t="str">
        <f t="shared" si="16"/>
        <v/>
      </c>
      <c r="AK19" s="57" t="str">
        <f t="shared" si="17"/>
        <v/>
      </c>
      <c r="AL19" s="57" t="str">
        <f t="shared" si="18"/>
        <v/>
      </c>
      <c r="AM19" s="57" t="str">
        <f t="shared" si="19"/>
        <v/>
      </c>
      <c r="AN19" s="57" t="str">
        <f t="shared" si="20"/>
        <v/>
      </c>
      <c r="AO19" s="57" t="str">
        <f t="shared" si="21"/>
        <v/>
      </c>
      <c r="AP19" s="57" t="str">
        <f t="shared" si="22"/>
        <v/>
      </c>
      <c r="AQ19" s="57" t="str">
        <f t="shared" si="23"/>
        <v/>
      </c>
      <c r="AR19" s="57" t="str">
        <f t="shared" si="24"/>
        <v/>
      </c>
      <c r="AS19" s="57" t="str">
        <f t="shared" si="25"/>
        <v/>
      </c>
      <c r="AT19" s="57" t="str">
        <f t="shared" si="26"/>
        <v/>
      </c>
      <c r="AU19" s="57" t="str">
        <f t="shared" si="27"/>
        <v/>
      </c>
      <c r="AV19" s="57" t="str">
        <f t="shared" si="28"/>
        <v/>
      </c>
      <c r="AW19" s="57" t="str">
        <f t="shared" si="29"/>
        <v/>
      </c>
      <c r="AX19" s="57" t="str">
        <f t="shared" si="30"/>
        <v/>
      </c>
      <c r="AY19" s="57" t="str">
        <f t="shared" si="31"/>
        <v/>
      </c>
      <c r="AZ19" s="57" t="str">
        <f t="shared" si="32"/>
        <v/>
      </c>
      <c r="BA19" s="57" t="str">
        <f t="shared" si="33"/>
        <v/>
      </c>
    </row>
    <row r="20" spans="1:53">
      <c r="A20" s="7"/>
      <c r="B20" s="8"/>
      <c r="C20" s="8"/>
      <c r="D20" s="8"/>
      <c r="E20" s="8"/>
      <c r="F20" s="8"/>
      <c r="G20" s="9"/>
      <c r="H20" s="9"/>
      <c r="I20" s="9"/>
      <c r="J20" s="9"/>
      <c r="K20" s="9"/>
      <c r="L20" s="9"/>
      <c r="M20" s="9"/>
      <c r="N20" s="9"/>
      <c r="O20" s="9"/>
      <c r="P20" s="9"/>
      <c r="Q20" s="9"/>
      <c r="R20" s="8"/>
      <c r="S20" s="8"/>
      <c r="T20" s="36"/>
      <c r="U20" s="54">
        <f t="shared" ca="1" si="1"/>
        <v>0</v>
      </c>
      <c r="V20" s="55">
        <f t="shared" ca="1" si="2"/>
        <v>0</v>
      </c>
      <c r="W20" s="56">
        <f t="shared" ca="1" si="3"/>
        <v>0</v>
      </c>
      <c r="X20" s="57">
        <f t="shared" ca="1" si="4"/>
        <v>0</v>
      </c>
      <c r="Y20" s="57">
        <f t="shared" ca="1" si="5"/>
        <v>0</v>
      </c>
      <c r="Z20" s="57">
        <f t="shared" ca="1" si="6"/>
        <v>0</v>
      </c>
      <c r="AA20" s="57">
        <f t="shared" ca="1" si="7"/>
        <v>0</v>
      </c>
      <c r="AB20" s="57">
        <f t="shared" ca="1" si="8"/>
        <v>0</v>
      </c>
      <c r="AC20" s="57">
        <f t="shared" ca="1" si="9"/>
        <v>0</v>
      </c>
      <c r="AD20" s="57">
        <f t="shared" ca="1" si="10"/>
        <v>0</v>
      </c>
      <c r="AE20" s="57">
        <f t="shared" ca="1" si="11"/>
        <v>0</v>
      </c>
      <c r="AF20" s="57">
        <f t="shared" ca="1" si="12"/>
        <v>0</v>
      </c>
      <c r="AG20" s="57">
        <f t="shared" ca="1" si="13"/>
        <v>0</v>
      </c>
      <c r="AH20" s="57">
        <f t="shared" ca="1" si="14"/>
        <v>0</v>
      </c>
      <c r="AI20" s="57" t="str">
        <f t="shared" si="15"/>
        <v/>
      </c>
      <c r="AJ20" s="57" t="str">
        <f t="shared" si="16"/>
        <v/>
      </c>
      <c r="AK20" s="57" t="str">
        <f t="shared" si="17"/>
        <v/>
      </c>
      <c r="AL20" s="57" t="str">
        <f t="shared" si="18"/>
        <v/>
      </c>
      <c r="AM20" s="57" t="str">
        <f t="shared" si="19"/>
        <v/>
      </c>
      <c r="AN20" s="57" t="str">
        <f t="shared" si="20"/>
        <v/>
      </c>
      <c r="AO20" s="57" t="str">
        <f t="shared" si="21"/>
        <v/>
      </c>
      <c r="AP20" s="57" t="str">
        <f t="shared" si="22"/>
        <v/>
      </c>
      <c r="AQ20" s="57" t="str">
        <f t="shared" si="23"/>
        <v/>
      </c>
      <c r="AR20" s="57" t="str">
        <f t="shared" si="24"/>
        <v/>
      </c>
      <c r="AS20" s="57" t="str">
        <f t="shared" si="25"/>
        <v/>
      </c>
      <c r="AT20" s="57" t="str">
        <f t="shared" si="26"/>
        <v/>
      </c>
      <c r="AU20" s="57" t="str">
        <f t="shared" si="27"/>
        <v/>
      </c>
      <c r="AV20" s="57" t="str">
        <f t="shared" si="28"/>
        <v/>
      </c>
      <c r="AW20" s="57" t="str">
        <f t="shared" si="29"/>
        <v/>
      </c>
      <c r="AX20" s="57" t="str">
        <f t="shared" si="30"/>
        <v/>
      </c>
      <c r="AY20" s="57" t="str">
        <f t="shared" si="31"/>
        <v/>
      </c>
      <c r="AZ20" s="57" t="str">
        <f t="shared" si="32"/>
        <v/>
      </c>
      <c r="BA20" s="57" t="str">
        <f t="shared" si="33"/>
        <v/>
      </c>
    </row>
    <row r="21" spans="1:53">
      <c r="A21" s="7"/>
      <c r="B21" s="8"/>
      <c r="C21" s="8"/>
      <c r="D21" s="8"/>
      <c r="E21" s="8"/>
      <c r="F21" s="8"/>
      <c r="G21" s="9"/>
      <c r="H21" s="9"/>
      <c r="I21" s="9"/>
      <c r="J21" s="9"/>
      <c r="K21" s="9"/>
      <c r="L21" s="9"/>
      <c r="M21" s="9"/>
      <c r="N21" s="9"/>
      <c r="O21" s="9"/>
      <c r="P21" s="9"/>
      <c r="Q21" s="9"/>
      <c r="R21" s="8"/>
      <c r="S21" s="8"/>
      <c r="T21" s="36"/>
      <c r="U21" s="54">
        <f t="shared" ca="1" si="1"/>
        <v>0</v>
      </c>
      <c r="V21" s="55">
        <f t="shared" ca="1" si="2"/>
        <v>0</v>
      </c>
      <c r="W21" s="56">
        <f t="shared" ca="1" si="3"/>
        <v>0</v>
      </c>
      <c r="X21" s="57">
        <f t="shared" ca="1" si="4"/>
        <v>0</v>
      </c>
      <c r="Y21" s="57">
        <f t="shared" ca="1" si="5"/>
        <v>0</v>
      </c>
      <c r="Z21" s="57">
        <f t="shared" ca="1" si="6"/>
        <v>0</v>
      </c>
      <c r="AA21" s="57">
        <f t="shared" ca="1" si="7"/>
        <v>0</v>
      </c>
      <c r="AB21" s="57">
        <f t="shared" ca="1" si="8"/>
        <v>0</v>
      </c>
      <c r="AC21" s="57">
        <f t="shared" ca="1" si="9"/>
        <v>0</v>
      </c>
      <c r="AD21" s="57">
        <f t="shared" ca="1" si="10"/>
        <v>0</v>
      </c>
      <c r="AE21" s="57">
        <f t="shared" ca="1" si="11"/>
        <v>0</v>
      </c>
      <c r="AF21" s="57">
        <f t="shared" ca="1" si="12"/>
        <v>0</v>
      </c>
      <c r="AG21" s="57">
        <f t="shared" ca="1" si="13"/>
        <v>0</v>
      </c>
      <c r="AH21" s="57">
        <f t="shared" ca="1" si="14"/>
        <v>0</v>
      </c>
      <c r="AI21" s="57" t="str">
        <f t="shared" si="15"/>
        <v/>
      </c>
      <c r="AJ21" s="57" t="str">
        <f t="shared" si="16"/>
        <v/>
      </c>
      <c r="AK21" s="57" t="str">
        <f t="shared" si="17"/>
        <v/>
      </c>
      <c r="AL21" s="57" t="str">
        <f t="shared" si="18"/>
        <v/>
      </c>
      <c r="AM21" s="57" t="str">
        <f t="shared" si="19"/>
        <v/>
      </c>
      <c r="AN21" s="57" t="str">
        <f t="shared" si="20"/>
        <v/>
      </c>
      <c r="AO21" s="57" t="str">
        <f t="shared" si="21"/>
        <v/>
      </c>
      <c r="AP21" s="57" t="str">
        <f t="shared" si="22"/>
        <v/>
      </c>
      <c r="AQ21" s="57" t="str">
        <f t="shared" si="23"/>
        <v/>
      </c>
      <c r="AR21" s="57" t="str">
        <f t="shared" si="24"/>
        <v/>
      </c>
      <c r="AS21" s="57" t="str">
        <f t="shared" si="25"/>
        <v/>
      </c>
      <c r="AT21" s="57" t="str">
        <f t="shared" si="26"/>
        <v/>
      </c>
      <c r="AU21" s="57" t="str">
        <f t="shared" si="27"/>
        <v/>
      </c>
      <c r="AV21" s="57" t="str">
        <f t="shared" si="28"/>
        <v/>
      </c>
      <c r="AW21" s="57" t="str">
        <f t="shared" si="29"/>
        <v/>
      </c>
      <c r="AX21" s="57" t="str">
        <f t="shared" si="30"/>
        <v/>
      </c>
      <c r="AY21" s="57" t="str">
        <f t="shared" si="31"/>
        <v/>
      </c>
      <c r="AZ21" s="57" t="str">
        <f t="shared" si="32"/>
        <v/>
      </c>
      <c r="BA21" s="57" t="str">
        <f t="shared" si="33"/>
        <v/>
      </c>
    </row>
    <row r="22" spans="1:53">
      <c r="A22" s="7"/>
      <c r="B22" s="8"/>
      <c r="C22" s="8"/>
      <c r="D22" s="8"/>
      <c r="E22" s="8"/>
      <c r="F22" s="8"/>
      <c r="G22" s="9"/>
      <c r="H22" s="9"/>
      <c r="I22" s="9"/>
      <c r="J22" s="9"/>
      <c r="K22" s="9"/>
      <c r="L22" s="9"/>
      <c r="M22" s="9"/>
      <c r="N22" s="9"/>
      <c r="O22" s="9"/>
      <c r="P22" s="9"/>
      <c r="Q22" s="9"/>
      <c r="R22" s="8"/>
      <c r="S22" s="8"/>
      <c r="T22" s="36"/>
      <c r="U22" s="54">
        <f t="shared" ca="1" si="1"/>
        <v>0</v>
      </c>
      <c r="V22" s="55">
        <f t="shared" ca="1" si="2"/>
        <v>0</v>
      </c>
      <c r="W22" s="56">
        <f t="shared" ca="1" si="3"/>
        <v>0</v>
      </c>
      <c r="X22" s="57">
        <f t="shared" ca="1" si="4"/>
        <v>0</v>
      </c>
      <c r="Y22" s="57">
        <f t="shared" ca="1" si="5"/>
        <v>0</v>
      </c>
      <c r="Z22" s="57">
        <f t="shared" ca="1" si="6"/>
        <v>0</v>
      </c>
      <c r="AA22" s="57">
        <f t="shared" ca="1" si="7"/>
        <v>0</v>
      </c>
      <c r="AB22" s="57">
        <f t="shared" ca="1" si="8"/>
        <v>0</v>
      </c>
      <c r="AC22" s="57">
        <f t="shared" ca="1" si="9"/>
        <v>0</v>
      </c>
      <c r="AD22" s="57">
        <f t="shared" ca="1" si="10"/>
        <v>0</v>
      </c>
      <c r="AE22" s="57">
        <f t="shared" ca="1" si="11"/>
        <v>0</v>
      </c>
      <c r="AF22" s="57">
        <f t="shared" ca="1" si="12"/>
        <v>0</v>
      </c>
      <c r="AG22" s="57">
        <f t="shared" ca="1" si="13"/>
        <v>0</v>
      </c>
      <c r="AH22" s="57">
        <f t="shared" ca="1" si="14"/>
        <v>0</v>
      </c>
      <c r="AI22" s="57" t="str">
        <f t="shared" si="15"/>
        <v/>
      </c>
      <c r="AJ22" s="57" t="str">
        <f t="shared" si="16"/>
        <v/>
      </c>
      <c r="AK22" s="57" t="str">
        <f t="shared" si="17"/>
        <v/>
      </c>
      <c r="AL22" s="57" t="str">
        <f t="shared" si="18"/>
        <v/>
      </c>
      <c r="AM22" s="57" t="str">
        <f t="shared" si="19"/>
        <v/>
      </c>
      <c r="AN22" s="57" t="str">
        <f t="shared" si="20"/>
        <v/>
      </c>
      <c r="AO22" s="57" t="str">
        <f t="shared" si="21"/>
        <v/>
      </c>
      <c r="AP22" s="57" t="str">
        <f t="shared" si="22"/>
        <v/>
      </c>
      <c r="AQ22" s="57" t="str">
        <f t="shared" si="23"/>
        <v/>
      </c>
      <c r="AR22" s="57" t="str">
        <f t="shared" si="24"/>
        <v/>
      </c>
      <c r="AS22" s="57" t="str">
        <f t="shared" si="25"/>
        <v/>
      </c>
      <c r="AT22" s="57" t="str">
        <f t="shared" si="26"/>
        <v/>
      </c>
      <c r="AU22" s="57" t="str">
        <f t="shared" si="27"/>
        <v/>
      </c>
      <c r="AV22" s="57" t="str">
        <f t="shared" si="28"/>
        <v/>
      </c>
      <c r="AW22" s="57" t="str">
        <f t="shared" si="29"/>
        <v/>
      </c>
      <c r="AX22" s="57" t="str">
        <f t="shared" si="30"/>
        <v/>
      </c>
      <c r="AY22" s="57" t="str">
        <f t="shared" si="31"/>
        <v/>
      </c>
      <c r="AZ22" s="57" t="str">
        <f t="shared" si="32"/>
        <v/>
      </c>
      <c r="BA22" s="57" t="str">
        <f t="shared" si="33"/>
        <v/>
      </c>
    </row>
    <row r="23" spans="1:53">
      <c r="A23" s="7"/>
      <c r="B23" s="8"/>
      <c r="C23" s="8"/>
      <c r="D23" s="8"/>
      <c r="E23" s="8"/>
      <c r="F23" s="8"/>
      <c r="G23" s="9"/>
      <c r="H23" s="9"/>
      <c r="I23" s="9"/>
      <c r="J23" s="9"/>
      <c r="K23" s="9"/>
      <c r="L23" s="9"/>
      <c r="M23" s="9"/>
      <c r="N23" s="9"/>
      <c r="O23" s="9"/>
      <c r="P23" s="9"/>
      <c r="Q23" s="9"/>
      <c r="R23" s="8"/>
      <c r="S23" s="8"/>
      <c r="T23" s="37" t="s">
        <v>29</v>
      </c>
      <c r="U23" s="58"/>
      <c r="V23" s="59"/>
      <c r="W23" s="56">
        <f t="shared" ref="W23:BA23" ca="1" si="34">IF(LEN(TRIM(W$10))&lt;&gt;0,SUM(W11:W20),"")</f>
        <v>0</v>
      </c>
      <c r="X23" s="57">
        <f t="shared" ca="1" si="34"/>
        <v>0</v>
      </c>
      <c r="Y23" s="57">
        <f t="shared" ca="1" si="34"/>
        <v>0</v>
      </c>
      <c r="Z23" s="57">
        <f t="shared" ca="1" si="34"/>
        <v>0</v>
      </c>
      <c r="AA23" s="57">
        <f t="shared" ca="1" si="34"/>
        <v>0</v>
      </c>
      <c r="AB23" s="57">
        <f t="shared" ca="1" si="34"/>
        <v>0</v>
      </c>
      <c r="AC23" s="57">
        <f t="shared" ca="1" si="34"/>
        <v>0</v>
      </c>
      <c r="AD23" s="57">
        <f t="shared" ca="1" si="34"/>
        <v>0</v>
      </c>
      <c r="AE23" s="57">
        <f t="shared" ca="1" si="34"/>
        <v>0</v>
      </c>
      <c r="AF23" s="57">
        <f t="shared" ca="1" si="34"/>
        <v>0</v>
      </c>
      <c r="AG23" s="57">
        <f t="shared" ca="1" si="34"/>
        <v>0</v>
      </c>
      <c r="AH23" s="57">
        <f t="shared" ca="1" si="34"/>
        <v>0</v>
      </c>
      <c r="AI23" s="57" t="str">
        <f t="shared" si="34"/>
        <v/>
      </c>
      <c r="AJ23" s="57" t="str">
        <f t="shared" si="34"/>
        <v/>
      </c>
      <c r="AK23" s="57" t="str">
        <f t="shared" si="34"/>
        <v/>
      </c>
      <c r="AL23" s="57" t="str">
        <f t="shared" si="34"/>
        <v/>
      </c>
      <c r="AM23" s="57" t="str">
        <f t="shared" si="34"/>
        <v/>
      </c>
      <c r="AN23" s="57" t="str">
        <f t="shared" si="34"/>
        <v/>
      </c>
      <c r="AO23" s="57" t="str">
        <f t="shared" si="34"/>
        <v/>
      </c>
      <c r="AP23" s="57" t="str">
        <f t="shared" si="34"/>
        <v/>
      </c>
      <c r="AQ23" s="57" t="str">
        <f t="shared" si="34"/>
        <v/>
      </c>
      <c r="AR23" s="57" t="str">
        <f t="shared" si="34"/>
        <v/>
      </c>
      <c r="AS23" s="57" t="str">
        <f t="shared" si="34"/>
        <v/>
      </c>
      <c r="AT23" s="57" t="str">
        <f t="shared" si="34"/>
        <v/>
      </c>
      <c r="AU23" s="57" t="str">
        <f t="shared" si="34"/>
        <v/>
      </c>
      <c r="AV23" s="57" t="str">
        <f t="shared" si="34"/>
        <v/>
      </c>
      <c r="AW23" s="57" t="str">
        <f t="shared" si="34"/>
        <v/>
      </c>
      <c r="AX23" s="57" t="str">
        <f t="shared" si="34"/>
        <v/>
      </c>
      <c r="AY23" s="57" t="str">
        <f t="shared" si="34"/>
        <v/>
      </c>
      <c r="AZ23" s="57" t="str">
        <f t="shared" si="34"/>
        <v/>
      </c>
      <c r="BA23" s="57" t="str">
        <f t="shared" si="34"/>
        <v/>
      </c>
    </row>
    <row r="24" spans="1:53" ht="18.75" thickBot="1">
      <c r="A24" s="7"/>
      <c r="B24" s="11"/>
      <c r="C24" s="8"/>
      <c r="D24" s="8"/>
      <c r="E24" s="8"/>
      <c r="F24" s="8"/>
      <c r="G24" s="9"/>
      <c r="H24" s="9"/>
      <c r="I24" s="9"/>
      <c r="J24" s="9"/>
      <c r="K24" s="9"/>
      <c r="L24" s="9"/>
      <c r="M24" s="9"/>
      <c r="N24" s="9"/>
      <c r="O24" s="9"/>
      <c r="P24" s="9"/>
      <c r="Q24" s="9"/>
      <c r="R24" s="8"/>
      <c r="S24" s="8"/>
      <c r="T24" s="37" t="s">
        <v>56</v>
      </c>
      <c r="U24" s="60"/>
      <c r="V24" s="61"/>
      <c r="W24" s="56">
        <f ca="1">IF(LEN(TRIM(W$10))&lt;&gt;0,C15-W23,"")</f>
        <v>0</v>
      </c>
      <c r="X24" s="57">
        <f t="shared" ref="X24:BA24" ca="1" si="35">IF(LEN(TRIM(X$10))&lt;&gt;0, W24-X23,"")</f>
        <v>0</v>
      </c>
      <c r="Y24" s="57">
        <f t="shared" ca="1" si="35"/>
        <v>0</v>
      </c>
      <c r="Z24" s="57">
        <f t="shared" ca="1" si="35"/>
        <v>0</v>
      </c>
      <c r="AA24" s="57">
        <f t="shared" ca="1" si="35"/>
        <v>0</v>
      </c>
      <c r="AB24" s="57">
        <f t="shared" ca="1" si="35"/>
        <v>0</v>
      </c>
      <c r="AC24" s="57">
        <f t="shared" ca="1" si="35"/>
        <v>0</v>
      </c>
      <c r="AD24" s="57">
        <f t="shared" ca="1" si="35"/>
        <v>0</v>
      </c>
      <c r="AE24" s="57">
        <f t="shared" ca="1" si="35"/>
        <v>0</v>
      </c>
      <c r="AF24" s="57">
        <f t="shared" ca="1" si="35"/>
        <v>0</v>
      </c>
      <c r="AG24" s="57">
        <f t="shared" ca="1" si="35"/>
        <v>0</v>
      </c>
      <c r="AH24" s="57">
        <f t="shared" ca="1" si="35"/>
        <v>0</v>
      </c>
      <c r="AI24" s="57" t="str">
        <f t="shared" si="35"/>
        <v/>
      </c>
      <c r="AJ24" s="57" t="str">
        <f t="shared" si="35"/>
        <v/>
      </c>
      <c r="AK24" s="57" t="str">
        <f t="shared" si="35"/>
        <v/>
      </c>
      <c r="AL24" s="57" t="str">
        <f t="shared" si="35"/>
        <v/>
      </c>
      <c r="AM24" s="57" t="str">
        <f t="shared" si="35"/>
        <v/>
      </c>
      <c r="AN24" s="57" t="str">
        <f t="shared" si="35"/>
        <v/>
      </c>
      <c r="AO24" s="57" t="str">
        <f t="shared" si="35"/>
        <v/>
      </c>
      <c r="AP24" s="57" t="str">
        <f t="shared" si="35"/>
        <v/>
      </c>
      <c r="AQ24" s="57" t="str">
        <f t="shared" si="35"/>
        <v/>
      </c>
      <c r="AR24" s="57" t="str">
        <f t="shared" si="35"/>
        <v/>
      </c>
      <c r="AS24" s="57" t="str">
        <f t="shared" si="35"/>
        <v/>
      </c>
      <c r="AT24" s="57" t="str">
        <f t="shared" si="35"/>
        <v/>
      </c>
      <c r="AU24" s="57" t="str">
        <f t="shared" si="35"/>
        <v/>
      </c>
      <c r="AV24" s="57" t="str">
        <f t="shared" si="35"/>
        <v/>
      </c>
      <c r="AW24" s="57" t="str">
        <f t="shared" si="35"/>
        <v/>
      </c>
      <c r="AX24" s="57" t="str">
        <f t="shared" si="35"/>
        <v/>
      </c>
      <c r="AY24" s="57" t="str">
        <f t="shared" si="35"/>
        <v/>
      </c>
      <c r="AZ24" s="57" t="str">
        <f t="shared" si="35"/>
        <v/>
      </c>
      <c r="BA24" s="57" t="str">
        <f t="shared" si="35"/>
        <v/>
      </c>
    </row>
    <row r="25" spans="1:53" hidden="1">
      <c r="A25" s="7"/>
      <c r="B25" s="15" t="s">
        <v>28</v>
      </c>
      <c r="C25" s="15" t="s">
        <v>27</v>
      </c>
      <c r="D25" s="14" t="s">
        <v>26</v>
      </c>
      <c r="E25" s="14" t="s">
        <v>25</v>
      </c>
      <c r="F25" s="14" t="s">
        <v>24</v>
      </c>
      <c r="G25" s="12"/>
      <c r="H25" s="9"/>
      <c r="I25" s="9"/>
      <c r="J25" s="9"/>
      <c r="K25" s="9"/>
      <c r="L25" s="9"/>
      <c r="M25" s="9"/>
      <c r="N25" s="9"/>
      <c r="O25" s="9"/>
      <c r="P25" s="9"/>
      <c r="Q25" s="9"/>
      <c r="R25" s="8"/>
      <c r="S25" s="8"/>
      <c r="T25" s="7"/>
      <c r="U25" s="7"/>
      <c r="V25" s="7"/>
      <c r="W25" s="7"/>
      <c r="X25" s="7"/>
      <c r="Y25" s="7"/>
      <c r="Z25" s="7"/>
      <c r="AA25" s="7"/>
      <c r="AB25" s="7"/>
      <c r="AC25" s="7"/>
      <c r="AD25" s="7"/>
      <c r="AE25" s="7"/>
      <c r="AF25" s="7"/>
      <c r="AG25" s="7"/>
      <c r="AH25" s="7"/>
      <c r="AI25" s="7"/>
      <c r="AJ25" s="7"/>
      <c r="AK25" s="7"/>
      <c r="AL25" s="7"/>
      <c r="AM25" s="7"/>
      <c r="AN25" s="7"/>
      <c r="AO25" s="7"/>
      <c r="AP25" s="7"/>
    </row>
    <row r="26" spans="1:53" hidden="1">
      <c r="A26" s="7"/>
      <c r="B26" s="78" t="s">
        <v>23</v>
      </c>
      <c r="C26" s="81" t="s">
        <v>54</v>
      </c>
      <c r="D26" s="43" t="s">
        <v>22</v>
      </c>
      <c r="E26" s="47" t="s">
        <v>10</v>
      </c>
      <c r="F26" s="48"/>
      <c r="G26" s="12"/>
      <c r="H26" s="9"/>
      <c r="I26" s="9"/>
      <c r="J26" s="9"/>
      <c r="K26" s="9"/>
      <c r="L26" s="9"/>
      <c r="M26" s="9"/>
      <c r="N26" s="9"/>
      <c r="O26" s="9"/>
      <c r="P26" s="9"/>
      <c r="Q26" s="9"/>
      <c r="R26" s="8"/>
      <c r="S26" s="8"/>
      <c r="T26" s="7"/>
      <c r="U26" s="7"/>
      <c r="V26" s="7"/>
      <c r="W26" s="7"/>
      <c r="X26" s="7"/>
      <c r="Y26" s="7"/>
      <c r="Z26" s="7"/>
      <c r="AA26" s="7"/>
      <c r="AB26" s="7"/>
      <c r="AC26" s="7"/>
      <c r="AD26" s="7"/>
      <c r="AE26" s="7"/>
      <c r="AF26" s="7"/>
      <c r="AG26" s="7"/>
      <c r="AH26" s="7"/>
      <c r="AI26" s="7"/>
      <c r="AJ26" s="7"/>
      <c r="AK26" s="7"/>
      <c r="AL26" s="7"/>
      <c r="AM26" s="7"/>
      <c r="AN26" s="7"/>
      <c r="AO26" s="7"/>
      <c r="AP26" s="7"/>
    </row>
    <row r="27" spans="1:53" ht="25.5" hidden="1">
      <c r="A27" s="7"/>
      <c r="B27" s="79"/>
      <c r="C27" s="82"/>
      <c r="D27" s="43" t="s">
        <v>21</v>
      </c>
      <c r="E27" s="47" t="s">
        <v>10</v>
      </c>
      <c r="F27" s="48"/>
      <c r="G27" s="12"/>
      <c r="H27" s="9"/>
      <c r="I27" s="9"/>
      <c r="J27" s="9"/>
      <c r="K27" s="9"/>
      <c r="L27" s="9"/>
      <c r="M27" s="9"/>
      <c r="N27" s="9"/>
      <c r="O27" s="9"/>
      <c r="P27" s="9"/>
      <c r="Q27" s="9"/>
      <c r="R27" s="8"/>
      <c r="S27" s="8"/>
      <c r="T27" s="7"/>
      <c r="U27" s="7"/>
      <c r="V27" s="7" t="s">
        <v>123</v>
      </c>
      <c r="W27" s="7"/>
      <c r="X27" s="7"/>
      <c r="Y27" s="7"/>
      <c r="Z27" s="7"/>
      <c r="AA27" s="7"/>
      <c r="AB27" s="7"/>
      <c r="AC27" s="7"/>
      <c r="AD27" s="7"/>
      <c r="AE27" s="7"/>
      <c r="AF27" s="7"/>
      <c r="AG27" s="7"/>
      <c r="AH27" s="7"/>
      <c r="AI27" s="7"/>
      <c r="AJ27" s="7"/>
      <c r="AK27" s="7"/>
      <c r="AL27" s="7"/>
      <c r="AM27" s="7"/>
      <c r="AN27" s="7"/>
      <c r="AO27" s="7"/>
      <c r="AP27" s="7"/>
    </row>
    <row r="28" spans="1:53" hidden="1">
      <c r="A28" s="7"/>
      <c r="B28" s="79"/>
      <c r="C28" s="81" t="s">
        <v>20</v>
      </c>
      <c r="D28" s="43" t="s">
        <v>19</v>
      </c>
      <c r="E28" s="49"/>
      <c r="F28" s="48"/>
      <c r="G28" s="12"/>
      <c r="H28" s="9"/>
      <c r="I28" s="9"/>
      <c r="J28" s="9"/>
      <c r="K28" s="9"/>
      <c r="L28" s="9"/>
      <c r="M28" s="9"/>
      <c r="N28" s="9"/>
      <c r="O28" s="9"/>
      <c r="P28" s="9"/>
      <c r="Q28" s="9"/>
      <c r="R28" s="8"/>
      <c r="S28" s="8"/>
      <c r="T28" s="7"/>
      <c r="U28" s="7"/>
      <c r="V28" s="7"/>
      <c r="W28" s="7"/>
      <c r="X28" s="7"/>
      <c r="Y28" s="7"/>
      <c r="Z28" s="7"/>
      <c r="AA28" s="7"/>
      <c r="AB28" s="7"/>
      <c r="AC28" s="7"/>
      <c r="AD28" s="7"/>
      <c r="AE28" s="7"/>
      <c r="AF28" s="7"/>
      <c r="AG28" s="7"/>
      <c r="AH28" s="7"/>
      <c r="AI28" s="7"/>
      <c r="AJ28" s="7"/>
      <c r="AK28" s="7"/>
      <c r="AL28" s="7"/>
      <c r="AM28" s="7"/>
      <c r="AN28" s="7"/>
      <c r="AO28" s="7"/>
      <c r="AP28" s="7"/>
    </row>
    <row r="29" spans="1:53" ht="25.5" hidden="1">
      <c r="A29" s="7"/>
      <c r="B29" s="79"/>
      <c r="C29" s="83"/>
      <c r="D29" s="43" t="s">
        <v>18</v>
      </c>
      <c r="E29" s="47" t="s">
        <v>10</v>
      </c>
      <c r="F29" s="48"/>
      <c r="G29" s="12"/>
      <c r="H29" s="9"/>
      <c r="I29" s="9"/>
      <c r="J29" s="9"/>
      <c r="K29" s="9"/>
      <c r="L29" s="9"/>
      <c r="M29" s="9"/>
      <c r="N29" s="9"/>
      <c r="O29" s="9"/>
      <c r="P29" s="9"/>
      <c r="Q29" s="9"/>
      <c r="R29" s="8"/>
      <c r="S29" s="8"/>
      <c r="T29" s="7"/>
      <c r="U29" s="7"/>
      <c r="V29" s="7"/>
      <c r="W29" s="7"/>
      <c r="X29" s="7"/>
      <c r="Y29" s="7"/>
      <c r="Z29" s="7"/>
      <c r="AA29" s="7"/>
      <c r="AB29" s="7"/>
      <c r="AC29" s="7"/>
      <c r="AD29" s="7"/>
      <c r="AE29" s="7"/>
      <c r="AF29" s="7"/>
      <c r="AG29" s="7"/>
      <c r="AH29" s="7"/>
      <c r="AI29" s="7"/>
      <c r="AJ29" s="32"/>
      <c r="AK29" s="7"/>
      <c r="AL29" s="7"/>
      <c r="AM29" s="7"/>
      <c r="AN29" s="7"/>
      <c r="AO29" s="7"/>
      <c r="AP29" s="7"/>
    </row>
    <row r="30" spans="1:53" hidden="1">
      <c r="A30" s="7"/>
      <c r="B30" s="79"/>
      <c r="C30" s="83"/>
      <c r="D30" s="43" t="s">
        <v>17</v>
      </c>
      <c r="E30" s="49"/>
      <c r="F30" s="48"/>
      <c r="G30" s="12"/>
      <c r="H30" s="9"/>
      <c r="I30" s="9"/>
      <c r="J30" s="9"/>
      <c r="K30" s="9"/>
      <c r="L30" s="9"/>
      <c r="M30" s="9"/>
      <c r="N30" s="9"/>
      <c r="O30" s="9"/>
      <c r="P30" s="9"/>
      <c r="Q30" s="9"/>
      <c r="R30" s="8"/>
      <c r="S30" s="8"/>
      <c r="T30" s="7"/>
      <c r="U30" s="7"/>
      <c r="V30" s="7"/>
      <c r="W30" s="7"/>
      <c r="X30" s="7"/>
      <c r="Y30" s="7"/>
      <c r="Z30" s="7"/>
      <c r="AA30" s="7"/>
      <c r="AB30" s="7"/>
      <c r="AC30" s="7"/>
      <c r="AD30" s="7"/>
      <c r="AE30" s="7"/>
      <c r="AF30" s="7"/>
      <c r="AG30" s="7"/>
      <c r="AH30" s="7"/>
      <c r="AI30" s="7"/>
      <c r="AJ30" s="32"/>
      <c r="AK30" s="7"/>
      <c r="AL30" s="7"/>
      <c r="AM30" s="7"/>
      <c r="AN30" s="7"/>
      <c r="AO30" s="7"/>
      <c r="AP30" s="7"/>
    </row>
    <row r="31" spans="1:53" hidden="1">
      <c r="A31" s="7"/>
      <c r="B31" s="79"/>
      <c r="C31" s="83"/>
      <c r="D31" s="43" t="s">
        <v>16</v>
      </c>
      <c r="E31" s="49"/>
      <c r="F31" s="48"/>
      <c r="G31" s="12"/>
      <c r="H31" s="9"/>
      <c r="I31" s="9"/>
      <c r="J31" s="9"/>
      <c r="K31" s="9"/>
      <c r="L31" s="9"/>
      <c r="M31" s="9"/>
      <c r="N31" s="9"/>
      <c r="O31" s="9"/>
      <c r="P31" s="9"/>
      <c r="Q31" s="9"/>
      <c r="R31" s="8"/>
      <c r="S31" s="8"/>
      <c r="T31" s="7"/>
      <c r="U31" s="7"/>
      <c r="V31" s="7"/>
      <c r="W31" s="7"/>
      <c r="X31" s="7"/>
      <c r="Y31" s="7"/>
      <c r="Z31" s="7"/>
      <c r="AA31" s="7"/>
      <c r="AB31" s="7"/>
      <c r="AC31" s="7"/>
      <c r="AD31" s="7"/>
      <c r="AE31" s="7"/>
      <c r="AF31" s="7"/>
      <c r="AG31" s="7"/>
      <c r="AH31" s="7"/>
      <c r="AI31" s="7"/>
      <c r="AJ31" s="32"/>
      <c r="AK31" s="7"/>
      <c r="AL31" s="7"/>
      <c r="AM31" s="7"/>
      <c r="AN31" s="7"/>
      <c r="AO31" s="7"/>
      <c r="AP31" s="7"/>
    </row>
    <row r="32" spans="1:53" hidden="1">
      <c r="A32" s="7"/>
      <c r="B32" s="80"/>
      <c r="C32" s="82"/>
      <c r="D32" s="43" t="s">
        <v>15</v>
      </c>
      <c r="E32" s="49"/>
      <c r="F32" s="48"/>
      <c r="G32" s="12"/>
      <c r="H32" s="9"/>
      <c r="I32" s="9"/>
      <c r="J32" s="9"/>
      <c r="K32" s="9"/>
      <c r="L32" s="9"/>
      <c r="M32" s="9"/>
      <c r="N32" s="9"/>
      <c r="O32" s="9"/>
      <c r="P32" s="9"/>
      <c r="Q32" s="9"/>
      <c r="R32" s="8"/>
      <c r="S32" s="8"/>
      <c r="T32" s="7"/>
      <c r="U32" s="7"/>
      <c r="V32" s="7"/>
      <c r="W32" s="7"/>
      <c r="X32" s="7"/>
      <c r="Y32" s="7"/>
      <c r="Z32" s="7"/>
      <c r="AA32" s="7"/>
      <c r="AB32" s="7"/>
      <c r="AC32" s="7"/>
      <c r="AD32" s="7"/>
      <c r="AE32" s="7"/>
      <c r="AF32" s="7"/>
      <c r="AG32" s="7"/>
      <c r="AH32" s="7"/>
      <c r="AI32" s="7"/>
      <c r="AJ32" s="7"/>
      <c r="AK32" s="7"/>
      <c r="AL32" s="7"/>
      <c r="AM32" s="7"/>
      <c r="AN32" s="7"/>
      <c r="AO32" s="7"/>
      <c r="AP32" s="7"/>
    </row>
    <row r="33" spans="1:42" hidden="1">
      <c r="A33" s="7"/>
      <c r="B33" s="84" t="s">
        <v>14</v>
      </c>
      <c r="C33" s="84" t="s">
        <v>13</v>
      </c>
      <c r="D33" s="43" t="s">
        <v>12</v>
      </c>
      <c r="E33" s="47" t="s">
        <v>10</v>
      </c>
      <c r="F33" s="48"/>
      <c r="G33" s="12"/>
      <c r="H33" s="9"/>
      <c r="I33" s="9"/>
      <c r="J33" s="9"/>
      <c r="K33" s="9"/>
      <c r="L33" s="9"/>
      <c r="M33" s="9"/>
      <c r="N33" s="9"/>
      <c r="O33" s="9"/>
      <c r="P33" s="9"/>
      <c r="Q33" s="9"/>
      <c r="R33" s="8"/>
      <c r="S33" s="8"/>
      <c r="T33" s="7"/>
      <c r="U33" s="7"/>
      <c r="V33" s="7"/>
      <c r="W33" s="7"/>
      <c r="X33" s="7"/>
      <c r="Y33" s="7"/>
      <c r="Z33" s="7"/>
      <c r="AA33" s="7"/>
      <c r="AB33" s="7"/>
      <c r="AC33" s="7"/>
      <c r="AD33" s="7"/>
      <c r="AE33" s="7"/>
      <c r="AF33" s="7"/>
      <c r="AG33" s="7"/>
      <c r="AH33" s="7"/>
      <c r="AI33" s="7"/>
      <c r="AJ33" s="7"/>
      <c r="AK33" s="7"/>
      <c r="AL33" s="7"/>
      <c r="AM33" s="7"/>
      <c r="AN33" s="7"/>
      <c r="AO33" s="7"/>
      <c r="AP33" s="7"/>
    </row>
    <row r="34" spans="1:42" hidden="1">
      <c r="A34" s="7"/>
      <c r="B34" s="85"/>
      <c r="C34" s="84"/>
      <c r="D34" s="43" t="s">
        <v>11</v>
      </c>
      <c r="E34" s="47" t="s">
        <v>10</v>
      </c>
      <c r="F34" s="48"/>
      <c r="G34" s="12"/>
      <c r="H34" s="9"/>
      <c r="I34" s="9"/>
      <c r="J34" s="9"/>
      <c r="K34" s="9"/>
      <c r="L34" s="9"/>
      <c r="M34" s="9"/>
      <c r="N34" s="9"/>
      <c r="O34" s="9"/>
      <c r="P34" s="9"/>
      <c r="Q34" s="9"/>
      <c r="R34" s="8"/>
      <c r="S34" s="8"/>
      <c r="T34" s="7"/>
      <c r="U34" s="7"/>
      <c r="V34" s="7"/>
      <c r="W34" s="7"/>
      <c r="X34" s="7"/>
      <c r="Y34" s="7"/>
      <c r="Z34" s="7"/>
      <c r="AA34" s="7"/>
      <c r="AB34" s="7"/>
      <c r="AC34" s="7"/>
      <c r="AD34" s="7"/>
      <c r="AE34" s="7"/>
      <c r="AF34" s="7"/>
      <c r="AG34" s="7"/>
      <c r="AH34" s="7"/>
      <c r="AI34" s="7"/>
      <c r="AJ34" s="7"/>
      <c r="AK34" s="7"/>
      <c r="AL34" s="7"/>
      <c r="AM34" s="7"/>
      <c r="AN34" s="7"/>
      <c r="AO34" s="7"/>
      <c r="AP34" s="7"/>
    </row>
    <row r="35" spans="1:42" hidden="1">
      <c r="A35" s="7"/>
      <c r="B35" s="85"/>
      <c r="C35" s="84" t="s">
        <v>9</v>
      </c>
      <c r="D35" s="43" t="s">
        <v>8</v>
      </c>
      <c r="E35" s="49"/>
      <c r="F35" s="48"/>
      <c r="G35" s="12"/>
      <c r="H35" s="9"/>
      <c r="I35" s="9"/>
      <c r="J35" s="9"/>
      <c r="K35" s="9"/>
      <c r="L35" s="9"/>
      <c r="M35" s="9"/>
      <c r="N35" s="9"/>
      <c r="O35" s="9"/>
      <c r="P35" s="9"/>
      <c r="Q35" s="9"/>
      <c r="R35" s="8"/>
      <c r="S35" s="8"/>
      <c r="T35" s="7"/>
      <c r="U35" s="7"/>
      <c r="V35" s="7"/>
      <c r="W35" s="7"/>
      <c r="X35" s="7"/>
      <c r="Y35" s="7"/>
      <c r="Z35" s="7"/>
      <c r="AA35" s="7"/>
      <c r="AB35" s="7"/>
      <c r="AC35" s="7"/>
      <c r="AD35" s="7"/>
      <c r="AE35" s="7"/>
      <c r="AF35" s="7"/>
      <c r="AG35" s="7"/>
      <c r="AH35" s="7"/>
      <c r="AI35" s="7"/>
      <c r="AJ35" s="7"/>
      <c r="AK35" s="7"/>
      <c r="AL35" s="7"/>
      <c r="AM35" s="7"/>
      <c r="AN35" s="7"/>
      <c r="AO35" s="7"/>
      <c r="AP35" s="7"/>
    </row>
    <row r="36" spans="1:42" ht="25.5" hidden="1">
      <c r="A36" s="7"/>
      <c r="B36" s="85"/>
      <c r="C36" s="84"/>
      <c r="D36" s="43" t="s">
        <v>7</v>
      </c>
      <c r="E36" s="49"/>
      <c r="F36" s="48"/>
      <c r="G36" s="12"/>
      <c r="H36" s="9"/>
      <c r="I36" s="9"/>
      <c r="J36" s="9"/>
      <c r="K36" s="9"/>
      <c r="L36" s="9"/>
      <c r="M36" s="9"/>
      <c r="N36" s="9"/>
      <c r="O36" s="9"/>
      <c r="P36" s="9"/>
      <c r="Q36" s="9"/>
      <c r="R36" s="8"/>
      <c r="S36" s="8"/>
      <c r="T36" s="7"/>
      <c r="U36" s="7"/>
      <c r="V36" s="7"/>
      <c r="W36" s="7"/>
      <c r="X36" s="7"/>
      <c r="Y36" s="7"/>
      <c r="Z36" s="7"/>
      <c r="AA36" s="7"/>
      <c r="AB36" s="7"/>
      <c r="AC36" s="7"/>
      <c r="AD36" s="7"/>
      <c r="AE36" s="7"/>
      <c r="AF36" s="7"/>
      <c r="AG36" s="7"/>
      <c r="AH36" s="7"/>
      <c r="AI36" s="7"/>
      <c r="AJ36" s="7"/>
      <c r="AK36" s="7"/>
      <c r="AL36" s="7"/>
      <c r="AM36" s="7"/>
      <c r="AN36" s="7"/>
      <c r="AO36" s="7"/>
      <c r="AP36" s="7"/>
    </row>
    <row r="37" spans="1:42">
      <c r="A37" s="7"/>
      <c r="B37" s="7"/>
      <c r="C37" s="7"/>
      <c r="D37" s="8"/>
      <c r="E37" s="8"/>
      <c r="F37" s="8"/>
      <c r="G37" s="9"/>
      <c r="H37" s="9"/>
      <c r="I37" s="9"/>
      <c r="J37" s="9"/>
      <c r="K37" s="9"/>
      <c r="L37" s="9"/>
      <c r="M37" s="9"/>
      <c r="N37" s="9"/>
      <c r="O37" s="9"/>
      <c r="P37" s="9"/>
      <c r="Q37" s="9"/>
      <c r="R37" s="9"/>
      <c r="S37" s="8"/>
      <c r="T37" s="7"/>
      <c r="U37" s="7"/>
      <c r="V37" s="7"/>
      <c r="W37" s="7"/>
      <c r="X37" s="7"/>
      <c r="Y37" s="7"/>
      <c r="Z37" s="7"/>
      <c r="AA37" s="7"/>
      <c r="AB37" s="7"/>
      <c r="AC37" s="7"/>
      <c r="AD37" s="7"/>
      <c r="AE37" s="7"/>
      <c r="AF37" s="7"/>
      <c r="AG37" s="7"/>
      <c r="AH37" s="7"/>
      <c r="AI37" s="7"/>
      <c r="AJ37" s="7"/>
      <c r="AK37" s="7"/>
      <c r="AL37" s="7"/>
      <c r="AM37" s="7"/>
      <c r="AN37" s="7"/>
      <c r="AO37" s="7"/>
      <c r="AP37" s="7"/>
    </row>
    <row r="38" spans="1:42" ht="18">
      <c r="A38" s="7"/>
      <c r="B38" s="11" t="s">
        <v>6</v>
      </c>
      <c r="C38" s="7"/>
      <c r="D38" s="8"/>
      <c r="E38" s="8"/>
      <c r="F38" s="8"/>
      <c r="G38" s="9"/>
      <c r="H38" s="9"/>
      <c r="I38" s="9"/>
      <c r="J38" s="9"/>
      <c r="K38" s="9"/>
      <c r="L38" s="9"/>
      <c r="M38" s="9"/>
      <c r="N38" s="9"/>
      <c r="O38" s="9"/>
      <c r="P38" s="9"/>
      <c r="Q38" s="9"/>
      <c r="R38" s="8"/>
      <c r="S38" s="8"/>
      <c r="T38" s="7"/>
      <c r="U38" s="7"/>
      <c r="V38" s="7"/>
      <c r="W38" s="7"/>
      <c r="X38" s="7"/>
      <c r="Y38" s="7"/>
      <c r="Z38" s="7"/>
      <c r="AA38" s="7"/>
      <c r="AB38" s="7"/>
      <c r="AC38" s="7"/>
      <c r="AD38" s="7"/>
      <c r="AE38" s="7"/>
      <c r="AF38" s="7"/>
      <c r="AG38" s="7"/>
      <c r="AH38" s="7"/>
      <c r="AI38" s="7"/>
      <c r="AJ38" s="7"/>
      <c r="AK38" s="7"/>
      <c r="AL38" s="7"/>
      <c r="AM38" s="7"/>
      <c r="AN38" s="7"/>
      <c r="AO38" s="7"/>
      <c r="AP38" s="7"/>
    </row>
    <row r="39" spans="1:42" ht="48.75" customHeight="1">
      <c r="A39" s="7"/>
      <c r="B39" s="10" t="s">
        <v>5</v>
      </c>
      <c r="C39" s="10" t="s">
        <v>4</v>
      </c>
      <c r="D39" s="10" t="s">
        <v>3</v>
      </c>
      <c r="E39" s="33" t="s">
        <v>43</v>
      </c>
      <c r="F39" s="33" t="s">
        <v>44</v>
      </c>
      <c r="G39" s="33" t="s">
        <v>2</v>
      </c>
      <c r="H39" s="33" t="s">
        <v>1</v>
      </c>
      <c r="I39" s="10" t="s">
        <v>48</v>
      </c>
      <c r="J39" s="10" t="s">
        <v>49</v>
      </c>
      <c r="K39" s="33" t="s">
        <v>39</v>
      </c>
      <c r="L39" s="34">
        <f>C13</f>
        <v>41799</v>
      </c>
      <c r="M39" s="34">
        <f>IF(LEN(TRIM(L$39)) &lt;&gt; 0, IF(L$39+1 &lt;= $C$14, L$39+1, ""),"")</f>
        <v>41800</v>
      </c>
      <c r="N39" s="34">
        <f>IF(LEN(TRIM(M$39)) &lt;&gt; 0, IF(M$39+1 &lt;= $C$14, M$39+1, ""),"")</f>
        <v>41801</v>
      </c>
      <c r="O39" s="34">
        <f t="shared" ref="O39:AP39" si="36">IF(LEN(TRIM(N$39)) &lt;&gt; 0, IF(N$39+1 &lt;= $C$14, N$39+1, ""),"")</f>
        <v>41802</v>
      </c>
      <c r="P39" s="34">
        <f t="shared" si="36"/>
        <v>41803</v>
      </c>
      <c r="Q39" s="34">
        <f t="shared" si="36"/>
        <v>41804</v>
      </c>
      <c r="R39" s="34">
        <f t="shared" si="36"/>
        <v>41805</v>
      </c>
      <c r="S39" s="34">
        <f t="shared" si="36"/>
        <v>41806</v>
      </c>
      <c r="T39" s="34">
        <f t="shared" si="36"/>
        <v>41807</v>
      </c>
      <c r="U39" s="34">
        <f t="shared" si="36"/>
        <v>41808</v>
      </c>
      <c r="V39" s="34">
        <f t="shared" si="36"/>
        <v>41809</v>
      </c>
      <c r="W39" s="34">
        <f t="shared" si="36"/>
        <v>41810</v>
      </c>
      <c r="X39" s="34" t="str">
        <f t="shared" si="36"/>
        <v/>
      </c>
      <c r="Y39" s="34" t="str">
        <f t="shared" si="36"/>
        <v/>
      </c>
      <c r="Z39" s="34" t="str">
        <f t="shared" si="36"/>
        <v/>
      </c>
      <c r="AA39" s="34" t="str">
        <f t="shared" si="36"/>
        <v/>
      </c>
      <c r="AB39" s="34" t="str">
        <f t="shared" si="36"/>
        <v/>
      </c>
      <c r="AC39" s="34" t="str">
        <f t="shared" si="36"/>
        <v/>
      </c>
      <c r="AD39" s="34" t="str">
        <f t="shared" si="36"/>
        <v/>
      </c>
      <c r="AE39" s="34" t="str">
        <f t="shared" si="36"/>
        <v/>
      </c>
      <c r="AF39" s="34" t="str">
        <f t="shared" si="36"/>
        <v/>
      </c>
      <c r="AG39" s="34" t="str">
        <f t="shared" si="36"/>
        <v/>
      </c>
      <c r="AH39" s="34" t="str">
        <f t="shared" si="36"/>
        <v/>
      </c>
      <c r="AI39" s="34" t="str">
        <f t="shared" si="36"/>
        <v/>
      </c>
      <c r="AJ39" s="34" t="str">
        <f t="shared" si="36"/>
        <v/>
      </c>
      <c r="AK39" s="34" t="str">
        <f t="shared" si="36"/>
        <v/>
      </c>
      <c r="AL39" s="34" t="str">
        <f t="shared" si="36"/>
        <v/>
      </c>
      <c r="AM39" s="34" t="str">
        <f t="shared" si="36"/>
        <v/>
      </c>
      <c r="AN39" s="34" t="str">
        <f t="shared" si="36"/>
        <v/>
      </c>
      <c r="AO39" s="34" t="str">
        <f t="shared" si="36"/>
        <v/>
      </c>
      <c r="AP39" s="34" t="str">
        <f t="shared" si="36"/>
        <v/>
      </c>
    </row>
    <row r="40" spans="1:42" s="3" customFormat="1">
      <c r="B40" s="5"/>
      <c r="C40" s="53" t="str">
        <f>IF(LEN(TRIM(D40))&lt;&gt;0, "T"&amp;TEXT(ROW()-39,"00"),"")</f>
        <v/>
      </c>
      <c r="D40" s="5"/>
      <c r="E40" s="13"/>
      <c r="F40" s="13"/>
      <c r="G40" s="5"/>
      <c r="H40" s="5"/>
      <c r="I40" s="4"/>
      <c r="J40" s="51">
        <f t="shared" ref="J40:J100" si="37">SUM(L40:AP40)</f>
        <v>17</v>
      </c>
      <c r="K40" s="4"/>
      <c r="L40" s="4">
        <v>5</v>
      </c>
      <c r="M40" s="4">
        <v>5</v>
      </c>
      <c r="N40" s="4">
        <v>5</v>
      </c>
      <c r="O40" s="4">
        <v>2</v>
      </c>
      <c r="P40" s="4"/>
      <c r="Q40" s="13"/>
      <c r="R40" s="26"/>
      <c r="S40" s="26"/>
      <c r="T40" s="28"/>
      <c r="U40" s="28"/>
      <c r="V40" s="28"/>
      <c r="W40" s="28"/>
      <c r="X40" s="28"/>
      <c r="Y40" s="28"/>
      <c r="Z40" s="28"/>
      <c r="AA40" s="28"/>
      <c r="AB40" s="28"/>
      <c r="AC40" s="28"/>
      <c r="AD40" s="28"/>
      <c r="AE40" s="28"/>
      <c r="AF40" s="28"/>
      <c r="AG40" s="28"/>
      <c r="AH40" s="28"/>
      <c r="AI40" s="28"/>
      <c r="AJ40" s="28"/>
      <c r="AK40" s="13"/>
      <c r="AL40" s="13"/>
      <c r="AM40" s="13"/>
      <c r="AN40" s="13"/>
      <c r="AO40" s="13"/>
      <c r="AP40" s="13"/>
    </row>
    <row r="41" spans="1:42" s="3" customFormat="1">
      <c r="B41" s="5"/>
      <c r="C41" s="53" t="str">
        <f>IF(LEN(TRIM(D41))&lt;&gt;0, "T"&amp;TEXT(ROW()-39,"00"),"")</f>
        <v/>
      </c>
      <c r="D41" s="5"/>
      <c r="E41" s="13"/>
      <c r="F41" s="13"/>
      <c r="G41" s="5"/>
      <c r="H41" s="5"/>
      <c r="I41" s="4"/>
      <c r="J41" s="51">
        <f t="shared" si="37"/>
        <v>17</v>
      </c>
      <c r="K41" s="4"/>
      <c r="L41" s="4">
        <v>5</v>
      </c>
      <c r="M41" s="4">
        <v>5</v>
      </c>
      <c r="N41" s="4">
        <v>5</v>
      </c>
      <c r="O41" s="4">
        <v>2</v>
      </c>
      <c r="P41" s="4"/>
      <c r="Q41" s="13"/>
      <c r="R41" s="26"/>
      <c r="S41" s="26"/>
      <c r="T41" s="28"/>
      <c r="U41" s="28"/>
      <c r="V41" s="28"/>
      <c r="W41" s="28"/>
      <c r="X41" s="28"/>
      <c r="Y41" s="28"/>
      <c r="Z41" s="28"/>
      <c r="AA41" s="28"/>
      <c r="AB41" s="28"/>
      <c r="AC41" s="28"/>
      <c r="AD41" s="28"/>
      <c r="AE41" s="28"/>
      <c r="AF41" s="28"/>
      <c r="AG41" s="28"/>
      <c r="AH41" s="28"/>
      <c r="AI41" s="28"/>
      <c r="AJ41" s="28"/>
      <c r="AK41" s="13"/>
      <c r="AL41" s="13"/>
      <c r="AM41" s="13"/>
      <c r="AN41" s="13"/>
      <c r="AO41" s="13"/>
      <c r="AP41" s="13"/>
    </row>
    <row r="42" spans="1:42" s="3" customFormat="1">
      <c r="B42" s="5"/>
      <c r="C42" s="53" t="str">
        <f>IF(LEN(TRIM(D42))&lt;&gt;0, "T"&amp;TEXT(ROW()-39,"00"),"")</f>
        <v/>
      </c>
      <c r="D42" s="5"/>
      <c r="E42" s="13"/>
      <c r="F42" s="13"/>
      <c r="G42" s="5"/>
      <c r="H42" s="5"/>
      <c r="I42" s="4"/>
      <c r="J42" s="51">
        <f t="shared" si="37"/>
        <v>17</v>
      </c>
      <c r="K42" s="4"/>
      <c r="L42" s="4">
        <v>5</v>
      </c>
      <c r="M42" s="4">
        <v>5</v>
      </c>
      <c r="N42" s="4">
        <v>5</v>
      </c>
      <c r="O42" s="4">
        <v>2</v>
      </c>
      <c r="P42" s="4"/>
      <c r="Q42" s="13"/>
      <c r="R42" s="26"/>
      <c r="S42" s="26"/>
      <c r="T42" s="28"/>
      <c r="U42" s="28"/>
      <c r="V42" s="28"/>
      <c r="W42" s="28"/>
      <c r="X42" s="28"/>
      <c r="Y42" s="28"/>
      <c r="Z42" s="28"/>
      <c r="AA42" s="28"/>
      <c r="AB42" s="28"/>
      <c r="AC42" s="28"/>
      <c r="AD42" s="28"/>
      <c r="AE42" s="28"/>
      <c r="AF42" s="28"/>
      <c r="AG42" s="28"/>
      <c r="AH42" s="28"/>
      <c r="AI42" s="28"/>
      <c r="AJ42" s="28"/>
      <c r="AK42" s="13"/>
      <c r="AL42" s="13"/>
      <c r="AM42" s="13"/>
      <c r="AN42" s="13"/>
      <c r="AO42" s="13"/>
      <c r="AP42" s="13"/>
    </row>
    <row r="43" spans="1:42" s="3" customFormat="1">
      <c r="B43" s="5"/>
      <c r="C43" s="53" t="str">
        <f t="shared" ref="C43:C100" si="38">IF(LEN(TRIM(D43))&lt;&gt;0, "T"&amp;TEXT(ROW()-39,"00"),"")</f>
        <v/>
      </c>
      <c r="D43" s="5"/>
      <c r="E43" s="13"/>
      <c r="F43" s="13"/>
      <c r="G43" s="5"/>
      <c r="H43" s="5"/>
      <c r="I43" s="4"/>
      <c r="J43" s="51">
        <f t="shared" si="37"/>
        <v>0</v>
      </c>
      <c r="K43" s="4"/>
      <c r="L43" s="4"/>
      <c r="M43" s="4"/>
      <c r="N43" s="4"/>
      <c r="O43" s="4"/>
      <c r="P43" s="4"/>
      <c r="Q43" s="13"/>
      <c r="R43" s="26"/>
      <c r="S43" s="26"/>
      <c r="T43" s="28"/>
      <c r="U43" s="28"/>
      <c r="V43" s="28"/>
      <c r="W43" s="28"/>
      <c r="X43" s="28"/>
      <c r="Y43" s="28"/>
      <c r="Z43" s="28"/>
      <c r="AA43" s="28"/>
      <c r="AB43" s="28"/>
      <c r="AC43" s="28"/>
      <c r="AD43" s="28"/>
      <c r="AE43" s="28"/>
      <c r="AF43" s="28"/>
      <c r="AG43" s="28"/>
      <c r="AH43" s="28"/>
      <c r="AI43" s="28"/>
      <c r="AJ43" s="28"/>
      <c r="AK43" s="13"/>
      <c r="AL43" s="13"/>
      <c r="AM43" s="13"/>
      <c r="AN43" s="13"/>
      <c r="AO43" s="13"/>
      <c r="AP43" s="13"/>
    </row>
    <row r="44" spans="1:42" s="3" customFormat="1" ht="26.25" customHeight="1">
      <c r="B44" s="5"/>
      <c r="C44" s="53" t="str">
        <f t="shared" si="38"/>
        <v/>
      </c>
      <c r="D44" s="5"/>
      <c r="E44" s="13"/>
      <c r="F44" s="13"/>
      <c r="G44" s="5"/>
      <c r="H44" s="5"/>
      <c r="I44" s="4"/>
      <c r="J44" s="51">
        <f t="shared" si="37"/>
        <v>0</v>
      </c>
      <c r="K44" s="4"/>
      <c r="L44" s="4"/>
      <c r="M44" s="4"/>
      <c r="N44" s="4"/>
      <c r="O44" s="4"/>
      <c r="P44" s="4"/>
      <c r="Q44" s="13"/>
      <c r="R44" s="26"/>
      <c r="S44" s="26"/>
      <c r="T44" s="28"/>
      <c r="U44" s="28"/>
      <c r="V44" s="28"/>
      <c r="W44" s="28"/>
      <c r="X44" s="28"/>
      <c r="Y44" s="28"/>
      <c r="Z44" s="28"/>
      <c r="AA44" s="28"/>
      <c r="AB44" s="28"/>
      <c r="AC44" s="28"/>
      <c r="AD44" s="28"/>
      <c r="AE44" s="28"/>
      <c r="AF44" s="28"/>
      <c r="AG44" s="28"/>
      <c r="AH44" s="28"/>
      <c r="AI44" s="28"/>
      <c r="AJ44" s="28"/>
      <c r="AK44" s="13"/>
      <c r="AL44" s="13"/>
      <c r="AM44" s="13"/>
      <c r="AN44" s="13"/>
      <c r="AO44" s="13"/>
      <c r="AP44" s="13"/>
    </row>
    <row r="45" spans="1:42" s="3" customFormat="1" ht="26.25" customHeight="1">
      <c r="B45" s="5"/>
      <c r="C45" s="53" t="str">
        <f t="shared" si="38"/>
        <v/>
      </c>
      <c r="D45" s="5"/>
      <c r="E45" s="13"/>
      <c r="F45" s="13"/>
      <c r="G45" s="5"/>
      <c r="H45" s="5"/>
      <c r="I45" s="4"/>
      <c r="J45" s="51">
        <f t="shared" si="37"/>
        <v>0</v>
      </c>
      <c r="K45" s="4"/>
      <c r="L45" s="4"/>
      <c r="M45" s="4"/>
      <c r="N45" s="4"/>
      <c r="O45" s="4"/>
      <c r="P45" s="4"/>
      <c r="Q45" s="13"/>
      <c r="R45" s="26"/>
      <c r="S45" s="26"/>
      <c r="T45" s="28"/>
      <c r="U45" s="28"/>
      <c r="V45" s="28"/>
      <c r="W45" s="28"/>
      <c r="X45" s="28"/>
      <c r="Y45" s="28"/>
      <c r="Z45" s="28"/>
      <c r="AA45" s="28"/>
      <c r="AB45" s="28"/>
      <c r="AC45" s="28"/>
      <c r="AD45" s="28"/>
      <c r="AE45" s="28"/>
      <c r="AF45" s="28"/>
      <c r="AG45" s="28"/>
      <c r="AH45" s="28"/>
      <c r="AI45" s="28"/>
      <c r="AJ45" s="28"/>
      <c r="AK45" s="13"/>
      <c r="AL45" s="13"/>
      <c r="AM45" s="13"/>
      <c r="AN45" s="13"/>
      <c r="AO45" s="13"/>
      <c r="AP45" s="13"/>
    </row>
    <row r="46" spans="1:42" s="3" customFormat="1" ht="26.25" customHeight="1">
      <c r="B46" s="5"/>
      <c r="C46" s="53" t="str">
        <f t="shared" si="38"/>
        <v/>
      </c>
      <c r="D46" s="5"/>
      <c r="E46" s="13"/>
      <c r="F46" s="13"/>
      <c r="G46" s="5"/>
      <c r="H46" s="5"/>
      <c r="I46" s="4"/>
      <c r="J46" s="51">
        <f t="shared" si="37"/>
        <v>0</v>
      </c>
      <c r="K46" s="4"/>
      <c r="L46" s="4"/>
      <c r="M46" s="4"/>
      <c r="N46" s="4"/>
      <c r="O46" s="4"/>
      <c r="P46" s="4"/>
      <c r="Q46" s="13"/>
      <c r="R46" s="26"/>
      <c r="S46" s="26"/>
      <c r="T46" s="28"/>
      <c r="U46" s="28"/>
      <c r="V46" s="28"/>
      <c r="W46" s="28"/>
      <c r="X46" s="28"/>
      <c r="Y46" s="28"/>
      <c r="Z46" s="28"/>
      <c r="AA46" s="28"/>
      <c r="AB46" s="28"/>
      <c r="AC46" s="28"/>
      <c r="AD46" s="28"/>
      <c r="AE46" s="28"/>
      <c r="AF46" s="28"/>
      <c r="AG46" s="28"/>
      <c r="AH46" s="28"/>
      <c r="AI46" s="28"/>
      <c r="AJ46" s="28"/>
      <c r="AK46" s="13"/>
      <c r="AL46" s="13"/>
      <c r="AM46" s="13"/>
      <c r="AN46" s="13"/>
      <c r="AO46" s="13"/>
      <c r="AP46" s="13"/>
    </row>
    <row r="47" spans="1:42" s="3" customFormat="1">
      <c r="B47" s="5"/>
      <c r="C47" s="53" t="str">
        <f t="shared" si="38"/>
        <v/>
      </c>
      <c r="D47" s="5"/>
      <c r="E47" s="13"/>
      <c r="F47" s="13"/>
      <c r="G47" s="5"/>
      <c r="H47" s="5"/>
      <c r="I47" s="4"/>
      <c r="J47" s="51">
        <f t="shared" si="37"/>
        <v>0</v>
      </c>
      <c r="K47" s="4"/>
      <c r="L47" s="4"/>
      <c r="M47" s="4"/>
      <c r="N47" s="4"/>
      <c r="O47" s="4"/>
      <c r="P47" s="4"/>
      <c r="Q47" s="13"/>
      <c r="R47" s="26"/>
      <c r="S47" s="26"/>
      <c r="T47" s="28"/>
      <c r="U47" s="28"/>
      <c r="V47" s="28"/>
      <c r="W47" s="28"/>
      <c r="X47" s="28"/>
      <c r="Y47" s="28"/>
      <c r="Z47" s="28"/>
      <c r="AA47" s="28"/>
      <c r="AB47" s="28"/>
      <c r="AC47" s="28"/>
      <c r="AD47" s="28"/>
      <c r="AE47" s="28"/>
      <c r="AF47" s="28"/>
      <c r="AG47" s="28"/>
      <c r="AH47" s="28"/>
      <c r="AI47" s="28"/>
      <c r="AJ47" s="28"/>
      <c r="AK47" s="13"/>
      <c r="AL47" s="13"/>
      <c r="AM47" s="13"/>
      <c r="AN47" s="13"/>
      <c r="AO47" s="13"/>
      <c r="AP47" s="13"/>
    </row>
    <row r="48" spans="1:42" s="3" customFormat="1">
      <c r="B48" s="5"/>
      <c r="C48" s="53" t="str">
        <f t="shared" si="38"/>
        <v/>
      </c>
      <c r="D48" s="5"/>
      <c r="E48" s="13"/>
      <c r="F48" s="13"/>
      <c r="G48" s="5"/>
      <c r="H48" s="5"/>
      <c r="I48" s="4"/>
      <c r="J48" s="51">
        <f t="shared" si="37"/>
        <v>0</v>
      </c>
      <c r="K48" s="4"/>
      <c r="L48" s="4"/>
      <c r="M48" s="4"/>
      <c r="N48" s="4"/>
      <c r="O48" s="4"/>
      <c r="P48" s="4"/>
      <c r="Q48" s="13"/>
      <c r="R48" s="26"/>
      <c r="S48" s="26"/>
      <c r="T48" s="28"/>
      <c r="U48" s="28"/>
      <c r="V48" s="28"/>
      <c r="W48" s="28"/>
      <c r="X48" s="28"/>
      <c r="Y48" s="28"/>
      <c r="Z48" s="28"/>
      <c r="AA48" s="28"/>
      <c r="AB48" s="28"/>
      <c r="AC48" s="28"/>
      <c r="AD48" s="28"/>
      <c r="AE48" s="28"/>
      <c r="AF48" s="28"/>
      <c r="AG48" s="28"/>
      <c r="AH48" s="28"/>
      <c r="AI48" s="28"/>
      <c r="AJ48" s="28"/>
      <c r="AK48" s="13"/>
      <c r="AL48" s="13"/>
      <c r="AM48" s="13"/>
      <c r="AN48" s="13"/>
      <c r="AO48" s="13"/>
      <c r="AP48" s="13"/>
    </row>
    <row r="49" spans="2:42" s="3" customFormat="1">
      <c r="B49" s="5"/>
      <c r="C49" s="53" t="str">
        <f t="shared" si="38"/>
        <v/>
      </c>
      <c r="D49" s="5"/>
      <c r="E49" s="13"/>
      <c r="F49" s="13"/>
      <c r="G49" s="5"/>
      <c r="H49" s="5"/>
      <c r="I49" s="4"/>
      <c r="J49" s="51">
        <f t="shared" si="37"/>
        <v>0</v>
      </c>
      <c r="K49" s="4"/>
      <c r="L49" s="4"/>
      <c r="M49" s="4"/>
      <c r="N49" s="4"/>
      <c r="O49" s="4"/>
      <c r="P49" s="4"/>
      <c r="Q49" s="13"/>
      <c r="R49" s="26"/>
      <c r="S49" s="26"/>
      <c r="T49" s="28"/>
      <c r="U49" s="28"/>
      <c r="V49" s="28"/>
      <c r="W49" s="28"/>
      <c r="X49" s="28"/>
      <c r="Y49" s="28"/>
      <c r="Z49" s="28"/>
      <c r="AA49" s="28"/>
      <c r="AB49" s="28"/>
      <c r="AC49" s="28"/>
      <c r="AD49" s="28"/>
      <c r="AE49" s="28"/>
      <c r="AF49" s="28"/>
      <c r="AG49" s="28"/>
      <c r="AH49" s="28"/>
      <c r="AI49" s="28"/>
      <c r="AJ49" s="28"/>
      <c r="AK49" s="13"/>
      <c r="AL49" s="13"/>
      <c r="AM49" s="13"/>
      <c r="AN49" s="13"/>
      <c r="AO49" s="13"/>
      <c r="AP49" s="13"/>
    </row>
    <row r="50" spans="2:42" s="3" customFormat="1">
      <c r="B50" s="5"/>
      <c r="C50" s="53" t="str">
        <f t="shared" si="38"/>
        <v/>
      </c>
      <c r="D50" s="5"/>
      <c r="E50" s="13"/>
      <c r="F50" s="13"/>
      <c r="G50" s="5"/>
      <c r="H50" s="5"/>
      <c r="I50" s="4"/>
      <c r="J50" s="51">
        <f t="shared" si="37"/>
        <v>0</v>
      </c>
      <c r="K50" s="4"/>
      <c r="L50" s="4"/>
      <c r="M50" s="4"/>
      <c r="N50" s="4"/>
      <c r="O50" s="4"/>
      <c r="P50" s="4"/>
      <c r="Q50" s="13"/>
      <c r="R50" s="26"/>
      <c r="S50" s="26"/>
      <c r="T50" s="28"/>
      <c r="U50" s="28"/>
      <c r="V50" s="28"/>
      <c r="W50" s="28"/>
      <c r="X50" s="28"/>
      <c r="Y50" s="28"/>
      <c r="Z50" s="28"/>
      <c r="AA50" s="28"/>
      <c r="AB50" s="28"/>
      <c r="AC50" s="28"/>
      <c r="AD50" s="28"/>
      <c r="AE50" s="28"/>
      <c r="AF50" s="28"/>
      <c r="AG50" s="28"/>
      <c r="AH50" s="28"/>
      <c r="AI50" s="28"/>
      <c r="AJ50" s="28"/>
      <c r="AK50" s="13"/>
      <c r="AL50" s="13"/>
      <c r="AM50" s="13"/>
      <c r="AN50" s="13"/>
      <c r="AO50" s="13"/>
      <c r="AP50" s="13"/>
    </row>
    <row r="51" spans="2:42" s="3" customFormat="1">
      <c r="B51" s="5"/>
      <c r="C51" s="53" t="str">
        <f t="shared" si="38"/>
        <v/>
      </c>
      <c r="D51" s="5"/>
      <c r="E51" s="13"/>
      <c r="F51" s="13"/>
      <c r="G51" s="5"/>
      <c r="H51" s="5"/>
      <c r="I51" s="4"/>
      <c r="J51" s="51">
        <f t="shared" si="37"/>
        <v>0</v>
      </c>
      <c r="K51" s="4"/>
      <c r="L51" s="4"/>
      <c r="M51" s="4"/>
      <c r="N51" s="4"/>
      <c r="O51" s="4"/>
      <c r="P51" s="4"/>
      <c r="Q51" s="13"/>
      <c r="R51" s="26"/>
      <c r="S51" s="26"/>
      <c r="T51" s="28"/>
      <c r="U51" s="28"/>
      <c r="V51" s="28"/>
      <c r="W51" s="28"/>
      <c r="X51" s="28"/>
      <c r="Y51" s="28"/>
      <c r="Z51" s="28"/>
      <c r="AA51" s="28"/>
      <c r="AB51" s="28"/>
      <c r="AC51" s="28"/>
      <c r="AD51" s="28"/>
      <c r="AE51" s="28"/>
      <c r="AF51" s="28"/>
      <c r="AG51" s="28"/>
      <c r="AH51" s="28"/>
      <c r="AI51" s="28"/>
      <c r="AJ51" s="28"/>
      <c r="AK51" s="13"/>
      <c r="AL51" s="13"/>
      <c r="AM51" s="13"/>
      <c r="AN51" s="13"/>
      <c r="AO51" s="13"/>
      <c r="AP51" s="13"/>
    </row>
    <row r="52" spans="2:42" s="3" customFormat="1">
      <c r="B52" s="5"/>
      <c r="C52" s="53" t="str">
        <f t="shared" si="38"/>
        <v/>
      </c>
      <c r="D52" s="5"/>
      <c r="E52" s="13"/>
      <c r="F52" s="13"/>
      <c r="G52" s="5"/>
      <c r="H52" s="5"/>
      <c r="I52" s="4"/>
      <c r="J52" s="51">
        <f t="shared" si="37"/>
        <v>0</v>
      </c>
      <c r="K52" s="4"/>
      <c r="L52" s="4"/>
      <c r="M52" s="4"/>
      <c r="N52" s="4"/>
      <c r="O52" s="4"/>
      <c r="P52" s="4"/>
      <c r="Q52" s="13"/>
      <c r="R52" s="26"/>
      <c r="S52" s="26"/>
      <c r="T52" s="28"/>
      <c r="U52" s="28"/>
      <c r="V52" s="28"/>
      <c r="W52" s="28"/>
      <c r="X52" s="28"/>
      <c r="Y52" s="28"/>
      <c r="Z52" s="28"/>
      <c r="AA52" s="28"/>
      <c r="AB52" s="28"/>
      <c r="AC52" s="28"/>
      <c r="AD52" s="28"/>
      <c r="AE52" s="28"/>
      <c r="AF52" s="28"/>
      <c r="AG52" s="28"/>
      <c r="AH52" s="28"/>
      <c r="AI52" s="28"/>
      <c r="AJ52" s="28"/>
      <c r="AK52" s="13"/>
      <c r="AL52" s="13"/>
      <c r="AM52" s="13"/>
      <c r="AN52" s="13"/>
      <c r="AO52" s="13"/>
      <c r="AP52" s="13"/>
    </row>
    <row r="53" spans="2:42" s="3" customFormat="1">
      <c r="B53" s="5"/>
      <c r="C53" s="53" t="str">
        <f t="shared" si="38"/>
        <v/>
      </c>
      <c r="D53" s="5"/>
      <c r="E53" s="13"/>
      <c r="F53" s="13"/>
      <c r="G53" s="5"/>
      <c r="H53" s="5"/>
      <c r="I53" s="4"/>
      <c r="J53" s="51">
        <f t="shared" si="37"/>
        <v>0</v>
      </c>
      <c r="K53" s="4"/>
      <c r="L53" s="4"/>
      <c r="M53" s="4"/>
      <c r="N53" s="4"/>
      <c r="O53" s="4"/>
      <c r="P53" s="4"/>
      <c r="Q53" s="13"/>
      <c r="R53" s="26"/>
      <c r="S53" s="26"/>
      <c r="T53" s="28"/>
      <c r="U53" s="28"/>
      <c r="V53" s="28"/>
      <c r="W53" s="28"/>
      <c r="X53" s="28"/>
      <c r="Y53" s="28"/>
      <c r="Z53" s="28"/>
      <c r="AA53" s="28"/>
      <c r="AB53" s="28"/>
      <c r="AC53" s="28"/>
      <c r="AD53" s="28"/>
      <c r="AE53" s="28"/>
      <c r="AF53" s="28"/>
      <c r="AG53" s="28"/>
      <c r="AH53" s="28"/>
      <c r="AI53" s="28"/>
      <c r="AJ53" s="28"/>
      <c r="AK53" s="13"/>
      <c r="AL53" s="13"/>
      <c r="AM53" s="13"/>
      <c r="AN53" s="13"/>
      <c r="AO53" s="13"/>
      <c r="AP53" s="13"/>
    </row>
    <row r="54" spans="2:42" s="3" customFormat="1">
      <c r="B54" s="5"/>
      <c r="C54" s="53" t="str">
        <f t="shared" si="38"/>
        <v/>
      </c>
      <c r="D54" s="5"/>
      <c r="E54" s="13"/>
      <c r="F54" s="13"/>
      <c r="G54" s="5"/>
      <c r="H54" s="5"/>
      <c r="I54" s="4"/>
      <c r="J54" s="51">
        <f t="shared" si="37"/>
        <v>0</v>
      </c>
      <c r="K54" s="4"/>
      <c r="L54" s="4"/>
      <c r="M54" s="4"/>
      <c r="N54" s="4"/>
      <c r="O54" s="4"/>
      <c r="P54" s="4"/>
      <c r="Q54" s="13"/>
      <c r="R54" s="26"/>
      <c r="S54" s="26"/>
      <c r="T54" s="28"/>
      <c r="U54" s="28"/>
      <c r="V54" s="28"/>
      <c r="W54" s="28"/>
      <c r="X54" s="28"/>
      <c r="Y54" s="28"/>
      <c r="Z54" s="28"/>
      <c r="AA54" s="28"/>
      <c r="AB54" s="28"/>
      <c r="AC54" s="28"/>
      <c r="AD54" s="28"/>
      <c r="AE54" s="28"/>
      <c r="AF54" s="28"/>
      <c r="AG54" s="28"/>
      <c r="AH54" s="28"/>
      <c r="AI54" s="28"/>
      <c r="AJ54" s="28"/>
      <c r="AK54" s="13"/>
      <c r="AL54" s="13"/>
      <c r="AM54" s="13"/>
      <c r="AN54" s="13"/>
      <c r="AO54" s="13"/>
      <c r="AP54" s="13"/>
    </row>
    <row r="55" spans="2:42" s="3" customFormat="1">
      <c r="B55" s="5"/>
      <c r="C55" s="53" t="str">
        <f t="shared" si="38"/>
        <v/>
      </c>
      <c r="D55" s="5"/>
      <c r="E55" s="13"/>
      <c r="F55" s="13"/>
      <c r="G55" s="5"/>
      <c r="H55" s="5"/>
      <c r="I55" s="4"/>
      <c r="J55" s="51">
        <f t="shared" si="37"/>
        <v>0</v>
      </c>
      <c r="K55" s="4"/>
      <c r="L55" s="4"/>
      <c r="M55" s="4"/>
      <c r="N55" s="4"/>
      <c r="O55" s="4"/>
      <c r="P55" s="4"/>
      <c r="Q55" s="13"/>
      <c r="R55" s="26"/>
      <c r="S55" s="26"/>
      <c r="T55" s="28"/>
      <c r="U55" s="28"/>
      <c r="V55" s="28"/>
      <c r="W55" s="28"/>
      <c r="X55" s="28"/>
      <c r="Y55" s="28"/>
      <c r="Z55" s="28"/>
      <c r="AA55" s="28"/>
      <c r="AB55" s="28"/>
      <c r="AC55" s="28"/>
      <c r="AD55" s="28"/>
      <c r="AE55" s="28"/>
      <c r="AF55" s="28"/>
      <c r="AG55" s="28"/>
      <c r="AH55" s="28"/>
      <c r="AI55" s="28"/>
      <c r="AJ55" s="28"/>
      <c r="AK55" s="13"/>
      <c r="AL55" s="13"/>
      <c r="AM55" s="13"/>
      <c r="AN55" s="13"/>
      <c r="AO55" s="13"/>
      <c r="AP55" s="13"/>
    </row>
    <row r="56" spans="2:42" s="3" customFormat="1">
      <c r="B56" s="5"/>
      <c r="C56" s="53" t="str">
        <f t="shared" si="38"/>
        <v/>
      </c>
      <c r="D56" s="5"/>
      <c r="E56" s="13"/>
      <c r="F56" s="13"/>
      <c r="G56" s="5"/>
      <c r="H56" s="5"/>
      <c r="I56" s="4"/>
      <c r="J56" s="51">
        <f t="shared" si="37"/>
        <v>0</v>
      </c>
      <c r="K56" s="4"/>
      <c r="L56" s="4"/>
      <c r="M56" s="4"/>
      <c r="N56" s="4"/>
      <c r="O56" s="4"/>
      <c r="P56" s="4"/>
      <c r="Q56" s="13"/>
      <c r="R56" s="26"/>
      <c r="S56" s="26"/>
      <c r="T56" s="28"/>
      <c r="U56" s="28"/>
      <c r="V56" s="28"/>
      <c r="W56" s="28"/>
      <c r="X56" s="28"/>
      <c r="Y56" s="28"/>
      <c r="Z56" s="28"/>
      <c r="AA56" s="28"/>
      <c r="AB56" s="28"/>
      <c r="AC56" s="28"/>
      <c r="AD56" s="28"/>
      <c r="AE56" s="28"/>
      <c r="AF56" s="28"/>
      <c r="AG56" s="28"/>
      <c r="AH56" s="28"/>
      <c r="AI56" s="28"/>
      <c r="AJ56" s="28"/>
      <c r="AK56" s="13"/>
      <c r="AL56" s="13"/>
      <c r="AM56" s="13"/>
      <c r="AN56" s="13"/>
      <c r="AO56" s="13"/>
      <c r="AP56" s="13"/>
    </row>
    <row r="57" spans="2:42" s="3" customFormat="1">
      <c r="B57" s="5"/>
      <c r="C57" s="53" t="str">
        <f t="shared" si="38"/>
        <v/>
      </c>
      <c r="D57" s="6"/>
      <c r="E57" s="13"/>
      <c r="F57" s="13"/>
      <c r="G57" s="5"/>
      <c r="H57" s="5"/>
      <c r="I57" s="4"/>
      <c r="J57" s="51">
        <f t="shared" si="37"/>
        <v>0</v>
      </c>
      <c r="K57" s="4"/>
      <c r="L57" s="4"/>
      <c r="M57" s="4"/>
      <c r="N57" s="4"/>
      <c r="O57" s="4"/>
      <c r="P57" s="4"/>
      <c r="Q57" s="13"/>
      <c r="R57" s="26"/>
      <c r="S57" s="26"/>
      <c r="T57" s="28"/>
      <c r="U57" s="28"/>
      <c r="V57" s="28"/>
      <c r="W57" s="28"/>
      <c r="X57" s="28"/>
      <c r="Y57" s="28"/>
      <c r="Z57" s="28"/>
      <c r="AA57" s="28"/>
      <c r="AB57" s="28"/>
      <c r="AC57" s="28"/>
      <c r="AD57" s="28"/>
      <c r="AE57" s="28"/>
      <c r="AF57" s="28"/>
      <c r="AG57" s="28"/>
      <c r="AH57" s="28"/>
      <c r="AI57" s="28"/>
      <c r="AJ57" s="28"/>
      <c r="AK57" s="13"/>
      <c r="AL57" s="13"/>
      <c r="AM57" s="13"/>
      <c r="AN57" s="13"/>
      <c r="AO57" s="13"/>
      <c r="AP57" s="13"/>
    </row>
    <row r="58" spans="2:42" s="3" customFormat="1">
      <c r="B58" s="5"/>
      <c r="C58" s="53" t="str">
        <f t="shared" si="38"/>
        <v/>
      </c>
      <c r="D58" s="6"/>
      <c r="E58" s="13"/>
      <c r="F58" s="13"/>
      <c r="G58" s="5"/>
      <c r="H58" s="5"/>
      <c r="I58" s="4"/>
      <c r="J58" s="51">
        <f t="shared" si="37"/>
        <v>0</v>
      </c>
      <c r="K58" s="4"/>
      <c r="L58" s="4"/>
      <c r="M58" s="4"/>
      <c r="N58" s="4"/>
      <c r="O58" s="4"/>
      <c r="P58" s="4"/>
      <c r="Q58" s="13"/>
      <c r="R58" s="26"/>
      <c r="S58" s="26"/>
      <c r="T58" s="28"/>
      <c r="U58" s="28"/>
      <c r="V58" s="28"/>
      <c r="W58" s="28"/>
      <c r="X58" s="28"/>
      <c r="Y58" s="28"/>
      <c r="Z58" s="28"/>
      <c r="AA58" s="28"/>
      <c r="AB58" s="28"/>
      <c r="AC58" s="28"/>
      <c r="AD58" s="28"/>
      <c r="AE58" s="28"/>
      <c r="AF58" s="28"/>
      <c r="AG58" s="28"/>
      <c r="AH58" s="28"/>
      <c r="AI58" s="28"/>
      <c r="AJ58" s="28"/>
      <c r="AK58" s="13"/>
      <c r="AL58" s="13"/>
      <c r="AM58" s="13"/>
      <c r="AN58" s="13"/>
      <c r="AO58" s="13"/>
      <c r="AP58" s="13"/>
    </row>
    <row r="59" spans="2:42" s="3" customFormat="1">
      <c r="B59" s="5"/>
      <c r="C59" s="53" t="str">
        <f t="shared" si="38"/>
        <v/>
      </c>
      <c r="D59" s="6"/>
      <c r="E59" s="13"/>
      <c r="F59" s="13"/>
      <c r="G59" s="5"/>
      <c r="H59" s="5"/>
      <c r="I59" s="4"/>
      <c r="J59" s="51">
        <f t="shared" si="37"/>
        <v>0</v>
      </c>
      <c r="K59" s="4"/>
      <c r="L59" s="4"/>
      <c r="M59" s="4"/>
      <c r="N59" s="4"/>
      <c r="O59" s="4"/>
      <c r="P59" s="4"/>
      <c r="Q59" s="13"/>
      <c r="R59" s="26"/>
      <c r="S59" s="26"/>
      <c r="T59" s="28"/>
      <c r="U59" s="28"/>
      <c r="V59" s="28"/>
      <c r="W59" s="28"/>
      <c r="X59" s="28"/>
      <c r="Y59" s="28"/>
      <c r="Z59" s="28"/>
      <c r="AA59" s="28"/>
      <c r="AB59" s="28"/>
      <c r="AC59" s="28"/>
      <c r="AD59" s="28"/>
      <c r="AE59" s="28"/>
      <c r="AF59" s="28"/>
      <c r="AG59" s="28"/>
      <c r="AH59" s="28"/>
      <c r="AI59" s="28"/>
      <c r="AJ59" s="28"/>
      <c r="AK59" s="13"/>
      <c r="AL59" s="13"/>
      <c r="AM59" s="13"/>
      <c r="AN59" s="13"/>
      <c r="AO59" s="13"/>
      <c r="AP59" s="13"/>
    </row>
    <row r="60" spans="2:42" s="3" customFormat="1">
      <c r="B60" s="5"/>
      <c r="C60" s="53" t="str">
        <f t="shared" si="38"/>
        <v/>
      </c>
      <c r="D60" s="6"/>
      <c r="E60" s="13"/>
      <c r="F60" s="13"/>
      <c r="G60" s="5"/>
      <c r="H60" s="5"/>
      <c r="I60" s="4"/>
      <c r="J60" s="51">
        <f t="shared" si="37"/>
        <v>0</v>
      </c>
      <c r="K60" s="4"/>
      <c r="L60" s="4"/>
      <c r="M60" s="4"/>
      <c r="N60" s="4"/>
      <c r="O60" s="4"/>
      <c r="P60" s="4"/>
      <c r="Q60" s="13"/>
      <c r="R60" s="26"/>
      <c r="S60" s="26"/>
      <c r="T60" s="28"/>
      <c r="U60" s="28"/>
      <c r="V60" s="28"/>
      <c r="W60" s="28"/>
      <c r="X60" s="28"/>
      <c r="Y60" s="28"/>
      <c r="Z60" s="28"/>
      <c r="AA60" s="28"/>
      <c r="AB60" s="28"/>
      <c r="AC60" s="28"/>
      <c r="AD60" s="28"/>
      <c r="AE60" s="28"/>
      <c r="AF60" s="28"/>
      <c r="AG60" s="28"/>
      <c r="AH60" s="28"/>
      <c r="AI60" s="28"/>
      <c r="AJ60" s="28"/>
      <c r="AK60" s="13"/>
      <c r="AL60" s="13"/>
      <c r="AM60" s="13"/>
      <c r="AN60" s="13"/>
      <c r="AO60" s="13"/>
      <c r="AP60" s="13"/>
    </row>
    <row r="61" spans="2:42" s="3" customFormat="1">
      <c r="B61" s="5"/>
      <c r="C61" s="53" t="str">
        <f t="shared" si="38"/>
        <v/>
      </c>
      <c r="D61" s="5"/>
      <c r="E61" s="13"/>
      <c r="F61" s="13"/>
      <c r="G61" s="5"/>
      <c r="H61" s="5"/>
      <c r="I61" s="4"/>
      <c r="J61" s="51">
        <f t="shared" si="37"/>
        <v>0</v>
      </c>
      <c r="K61" s="4"/>
      <c r="L61" s="4"/>
      <c r="M61" s="4"/>
      <c r="N61" s="4"/>
      <c r="O61" s="4"/>
      <c r="P61" s="4"/>
      <c r="Q61" s="13"/>
      <c r="R61" s="26"/>
      <c r="S61" s="26"/>
      <c r="T61" s="28"/>
      <c r="U61" s="28"/>
      <c r="V61" s="28"/>
      <c r="W61" s="28"/>
      <c r="X61" s="28"/>
      <c r="Y61" s="28"/>
      <c r="Z61" s="28"/>
      <c r="AA61" s="28"/>
      <c r="AB61" s="28"/>
      <c r="AC61" s="28"/>
      <c r="AD61" s="28"/>
      <c r="AE61" s="28"/>
      <c r="AF61" s="28"/>
      <c r="AG61" s="28"/>
      <c r="AH61" s="28"/>
      <c r="AI61" s="28"/>
      <c r="AJ61" s="28"/>
      <c r="AK61" s="13"/>
      <c r="AL61" s="13"/>
      <c r="AM61" s="13"/>
      <c r="AN61" s="13"/>
      <c r="AO61" s="13"/>
      <c r="AP61" s="13"/>
    </row>
    <row r="62" spans="2:42" s="3" customFormat="1">
      <c r="B62" s="5"/>
      <c r="C62" s="53" t="str">
        <f t="shared" si="38"/>
        <v/>
      </c>
      <c r="D62" s="5"/>
      <c r="E62" s="13"/>
      <c r="F62" s="13"/>
      <c r="G62" s="5"/>
      <c r="H62" s="5"/>
      <c r="I62" s="4"/>
      <c r="J62" s="51">
        <f t="shared" si="37"/>
        <v>0</v>
      </c>
      <c r="K62" s="4"/>
      <c r="L62" s="4"/>
      <c r="M62" s="4"/>
      <c r="N62" s="4"/>
      <c r="O62" s="4"/>
      <c r="P62" s="4"/>
      <c r="Q62" s="13"/>
      <c r="R62" s="26"/>
      <c r="S62" s="26"/>
      <c r="T62" s="28"/>
      <c r="U62" s="28"/>
      <c r="V62" s="28"/>
      <c r="W62" s="28"/>
      <c r="X62" s="28"/>
      <c r="Y62" s="28"/>
      <c r="Z62" s="28"/>
      <c r="AA62" s="28"/>
      <c r="AB62" s="28"/>
      <c r="AC62" s="28"/>
      <c r="AD62" s="28"/>
      <c r="AE62" s="28"/>
      <c r="AF62" s="28"/>
      <c r="AG62" s="28"/>
      <c r="AH62" s="28"/>
      <c r="AI62" s="28"/>
      <c r="AJ62" s="28"/>
      <c r="AK62" s="13"/>
      <c r="AL62" s="13"/>
      <c r="AM62" s="13"/>
      <c r="AN62" s="13"/>
      <c r="AO62" s="13"/>
      <c r="AP62" s="13"/>
    </row>
    <row r="63" spans="2:42">
      <c r="B63" s="5"/>
      <c r="C63" s="53" t="str">
        <f t="shared" si="38"/>
        <v/>
      </c>
      <c r="D63" s="5"/>
      <c r="E63" s="26"/>
      <c r="F63" s="26"/>
      <c r="G63" s="5"/>
      <c r="H63" s="5"/>
      <c r="I63" s="4"/>
      <c r="J63" s="51">
        <f t="shared" si="37"/>
        <v>0</v>
      </c>
      <c r="K63" s="4"/>
      <c r="L63" s="4"/>
      <c r="M63" s="4"/>
      <c r="N63" s="4"/>
      <c r="O63" s="4"/>
      <c r="P63" s="4"/>
      <c r="Q63" s="26"/>
      <c r="R63" s="26"/>
      <c r="S63" s="28"/>
      <c r="T63" s="28"/>
      <c r="U63" s="28"/>
      <c r="V63" s="28"/>
      <c r="W63" s="28"/>
      <c r="X63" s="28"/>
      <c r="Y63" s="28"/>
      <c r="Z63" s="28"/>
      <c r="AA63" s="28"/>
      <c r="AB63" s="28"/>
      <c r="AC63" s="28"/>
      <c r="AD63" s="28"/>
      <c r="AE63" s="28"/>
      <c r="AF63" s="28"/>
      <c r="AG63" s="28"/>
      <c r="AH63" s="28"/>
      <c r="AI63" s="28"/>
      <c r="AJ63" s="28"/>
      <c r="AK63" s="28"/>
      <c r="AL63" s="28"/>
      <c r="AM63" s="28"/>
      <c r="AN63" s="28"/>
      <c r="AO63" s="28"/>
      <c r="AP63" s="28"/>
    </row>
    <row r="64" spans="2:42">
      <c r="B64" s="5"/>
      <c r="C64" s="53" t="str">
        <f t="shared" si="38"/>
        <v/>
      </c>
      <c r="D64" s="5"/>
      <c r="E64" s="26"/>
      <c r="F64" s="26"/>
      <c r="G64" s="5"/>
      <c r="H64" s="5"/>
      <c r="I64" s="4"/>
      <c r="J64" s="51">
        <f t="shared" si="37"/>
        <v>0</v>
      </c>
      <c r="K64" s="4"/>
      <c r="L64" s="4"/>
      <c r="M64" s="4"/>
      <c r="N64" s="4"/>
      <c r="O64" s="4"/>
      <c r="P64" s="4"/>
      <c r="Q64" s="26"/>
      <c r="R64" s="26"/>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row>
    <row r="65" spans="2:42">
      <c r="B65" s="5"/>
      <c r="C65" s="53" t="str">
        <f t="shared" si="38"/>
        <v/>
      </c>
      <c r="D65" s="5"/>
      <c r="E65" s="26"/>
      <c r="F65" s="26"/>
      <c r="G65" s="5"/>
      <c r="H65" s="5"/>
      <c r="I65" s="4"/>
      <c r="J65" s="51">
        <f t="shared" si="37"/>
        <v>0</v>
      </c>
      <c r="K65" s="4"/>
      <c r="L65" s="4"/>
      <c r="M65" s="4"/>
      <c r="N65" s="4"/>
      <c r="O65" s="4"/>
      <c r="P65" s="4"/>
      <c r="Q65" s="26"/>
      <c r="R65" s="26"/>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row>
    <row r="66" spans="2:42">
      <c r="B66" s="5"/>
      <c r="C66" s="53" t="str">
        <f t="shared" si="38"/>
        <v/>
      </c>
      <c r="D66" s="5"/>
      <c r="E66" s="26"/>
      <c r="F66" s="26"/>
      <c r="G66" s="5"/>
      <c r="H66" s="5"/>
      <c r="I66" s="4"/>
      <c r="J66" s="51">
        <f t="shared" si="37"/>
        <v>0</v>
      </c>
      <c r="K66" s="4"/>
      <c r="L66" s="4"/>
      <c r="M66" s="4"/>
      <c r="N66" s="4"/>
      <c r="O66" s="4"/>
      <c r="P66" s="4"/>
      <c r="Q66" s="26"/>
      <c r="R66" s="26"/>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row>
    <row r="67" spans="2:42">
      <c r="B67" s="5"/>
      <c r="C67" s="53" t="str">
        <f t="shared" si="38"/>
        <v/>
      </c>
      <c r="D67" s="5"/>
      <c r="E67" s="26"/>
      <c r="F67" s="26"/>
      <c r="G67" s="5"/>
      <c r="H67" s="5"/>
      <c r="I67" s="4"/>
      <c r="J67" s="51">
        <f t="shared" si="37"/>
        <v>0</v>
      </c>
      <c r="K67" s="4"/>
      <c r="L67" s="4"/>
      <c r="M67" s="4"/>
      <c r="N67" s="4"/>
      <c r="O67" s="4"/>
      <c r="P67" s="4"/>
      <c r="Q67" s="26"/>
      <c r="R67" s="26"/>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row>
    <row r="68" spans="2:42">
      <c r="B68" s="5"/>
      <c r="C68" s="53" t="str">
        <f t="shared" si="38"/>
        <v/>
      </c>
      <c r="D68" s="5"/>
      <c r="E68" s="26"/>
      <c r="F68" s="26"/>
      <c r="G68" s="5"/>
      <c r="H68" s="5"/>
      <c r="I68" s="4"/>
      <c r="J68" s="51">
        <f t="shared" si="37"/>
        <v>0</v>
      </c>
      <c r="K68" s="4"/>
      <c r="L68" s="4"/>
      <c r="M68" s="4"/>
      <c r="N68" s="4"/>
      <c r="O68" s="4"/>
      <c r="P68" s="4"/>
      <c r="Q68" s="26"/>
      <c r="R68" s="26"/>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row>
    <row r="69" spans="2:42">
      <c r="B69" s="5"/>
      <c r="C69" s="53" t="str">
        <f t="shared" si="38"/>
        <v/>
      </c>
      <c r="D69" s="5"/>
      <c r="E69" s="26"/>
      <c r="F69" s="26"/>
      <c r="G69" s="5"/>
      <c r="H69" s="5"/>
      <c r="I69" s="4"/>
      <c r="J69" s="51">
        <f t="shared" si="37"/>
        <v>0</v>
      </c>
      <c r="K69" s="4"/>
      <c r="L69" s="4"/>
      <c r="M69" s="4"/>
      <c r="N69" s="4"/>
      <c r="O69" s="4"/>
      <c r="P69" s="4"/>
      <c r="Q69" s="26"/>
      <c r="R69" s="26"/>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row>
    <row r="70" spans="2:42">
      <c r="B70" s="5"/>
      <c r="C70" s="53" t="str">
        <f t="shared" si="38"/>
        <v/>
      </c>
      <c r="D70" s="5"/>
      <c r="E70" s="26"/>
      <c r="F70" s="26"/>
      <c r="G70" s="5"/>
      <c r="H70" s="5"/>
      <c r="I70" s="4"/>
      <c r="J70" s="51">
        <f t="shared" si="37"/>
        <v>0</v>
      </c>
      <c r="K70" s="4"/>
      <c r="L70" s="4"/>
      <c r="M70" s="4"/>
      <c r="N70" s="4"/>
      <c r="O70" s="4"/>
      <c r="P70" s="4"/>
      <c r="Q70" s="26"/>
      <c r="R70" s="26"/>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row>
    <row r="71" spans="2:42">
      <c r="B71" s="5"/>
      <c r="C71" s="53" t="str">
        <f t="shared" si="38"/>
        <v/>
      </c>
      <c r="D71" s="5"/>
      <c r="E71" s="26"/>
      <c r="F71" s="26"/>
      <c r="G71" s="5"/>
      <c r="H71" s="5"/>
      <c r="I71" s="4"/>
      <c r="J71" s="51">
        <f t="shared" si="37"/>
        <v>0</v>
      </c>
      <c r="K71" s="4"/>
      <c r="L71" s="4"/>
      <c r="M71" s="4"/>
      <c r="N71" s="4"/>
      <c r="O71" s="4"/>
      <c r="P71" s="4"/>
      <c r="Q71" s="26"/>
      <c r="R71" s="26"/>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row>
    <row r="72" spans="2:42">
      <c r="B72" s="5"/>
      <c r="C72" s="53" t="str">
        <f t="shared" si="38"/>
        <v/>
      </c>
      <c r="D72" s="5"/>
      <c r="E72" s="26"/>
      <c r="F72" s="26"/>
      <c r="G72" s="5"/>
      <c r="H72" s="5"/>
      <c r="I72" s="4"/>
      <c r="J72" s="51">
        <f t="shared" si="37"/>
        <v>0</v>
      </c>
      <c r="K72" s="4"/>
      <c r="L72" s="4"/>
      <c r="M72" s="4"/>
      <c r="N72" s="4"/>
      <c r="O72" s="4"/>
      <c r="P72" s="4"/>
      <c r="Q72" s="26"/>
      <c r="R72" s="26"/>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row>
    <row r="73" spans="2:42">
      <c r="B73" s="5"/>
      <c r="C73" s="53" t="str">
        <f t="shared" si="38"/>
        <v/>
      </c>
      <c r="D73" s="5"/>
      <c r="E73" s="26"/>
      <c r="F73" s="26"/>
      <c r="G73" s="5"/>
      <c r="H73" s="5"/>
      <c r="I73" s="4"/>
      <c r="J73" s="51">
        <f t="shared" si="37"/>
        <v>0</v>
      </c>
      <c r="K73" s="4"/>
      <c r="L73" s="4"/>
      <c r="M73" s="4"/>
      <c r="N73" s="4"/>
      <c r="O73" s="4"/>
      <c r="P73" s="4"/>
      <c r="Q73" s="26"/>
      <c r="R73" s="26"/>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row>
    <row r="74" spans="2:42">
      <c r="B74" s="5"/>
      <c r="C74" s="53" t="str">
        <f t="shared" si="38"/>
        <v/>
      </c>
      <c r="D74" s="5"/>
      <c r="E74" s="26"/>
      <c r="F74" s="26"/>
      <c r="G74" s="5"/>
      <c r="H74" s="5"/>
      <c r="I74" s="4"/>
      <c r="J74" s="51">
        <f t="shared" si="37"/>
        <v>0</v>
      </c>
      <c r="K74" s="4"/>
      <c r="L74" s="4"/>
      <c r="M74" s="4"/>
      <c r="N74" s="4"/>
      <c r="O74" s="4"/>
      <c r="P74" s="4"/>
      <c r="Q74" s="26"/>
      <c r="R74" s="26"/>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row>
    <row r="75" spans="2:42">
      <c r="B75" s="5"/>
      <c r="C75" s="53" t="str">
        <f t="shared" si="38"/>
        <v/>
      </c>
      <c r="D75" s="5"/>
      <c r="E75" s="26"/>
      <c r="F75" s="26"/>
      <c r="G75" s="5"/>
      <c r="H75" s="5"/>
      <c r="I75" s="4"/>
      <c r="J75" s="51">
        <f t="shared" si="37"/>
        <v>0</v>
      </c>
      <c r="K75" s="4"/>
      <c r="L75" s="4"/>
      <c r="M75" s="4"/>
      <c r="N75" s="4"/>
      <c r="O75" s="4"/>
      <c r="P75" s="4"/>
      <c r="Q75" s="26"/>
      <c r="R75" s="26"/>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row>
    <row r="76" spans="2:42">
      <c r="B76" s="5"/>
      <c r="C76" s="53" t="str">
        <f t="shared" si="38"/>
        <v/>
      </c>
      <c r="D76" s="5"/>
      <c r="E76" s="26"/>
      <c r="F76" s="26"/>
      <c r="G76" s="5"/>
      <c r="H76" s="5"/>
      <c r="I76" s="4"/>
      <c r="J76" s="51">
        <f t="shared" si="37"/>
        <v>0</v>
      </c>
      <c r="K76" s="4"/>
      <c r="L76" s="4"/>
      <c r="M76" s="4"/>
      <c r="N76" s="4"/>
      <c r="O76" s="4"/>
      <c r="P76" s="4"/>
      <c r="Q76" s="26"/>
      <c r="R76" s="26"/>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row>
    <row r="77" spans="2:42">
      <c r="B77" s="5"/>
      <c r="C77" s="53" t="str">
        <f t="shared" si="38"/>
        <v/>
      </c>
      <c r="D77" s="5"/>
      <c r="E77" s="26"/>
      <c r="F77" s="26"/>
      <c r="G77" s="5"/>
      <c r="H77" s="5"/>
      <c r="I77" s="4"/>
      <c r="J77" s="51">
        <f t="shared" si="37"/>
        <v>0</v>
      </c>
      <c r="K77" s="4"/>
      <c r="L77" s="4"/>
      <c r="M77" s="4"/>
      <c r="N77" s="4"/>
      <c r="O77" s="4"/>
      <c r="P77" s="4"/>
      <c r="Q77" s="26"/>
      <c r="R77" s="26"/>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row>
    <row r="78" spans="2:42">
      <c r="B78" s="5"/>
      <c r="C78" s="53" t="str">
        <f t="shared" si="38"/>
        <v/>
      </c>
      <c r="D78" s="5"/>
      <c r="E78" s="26"/>
      <c r="F78" s="26"/>
      <c r="G78" s="5"/>
      <c r="H78" s="5"/>
      <c r="I78" s="4"/>
      <c r="J78" s="51">
        <f t="shared" si="37"/>
        <v>0</v>
      </c>
      <c r="K78" s="4"/>
      <c r="L78" s="4"/>
      <c r="M78" s="4"/>
      <c r="N78" s="4"/>
      <c r="O78" s="4"/>
      <c r="P78" s="4"/>
      <c r="Q78" s="26"/>
      <c r="R78" s="26"/>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row>
    <row r="79" spans="2:42">
      <c r="B79" s="5"/>
      <c r="C79" s="53" t="str">
        <f t="shared" si="38"/>
        <v/>
      </c>
      <c r="D79" s="5"/>
      <c r="E79" s="26"/>
      <c r="F79" s="26"/>
      <c r="G79" s="5"/>
      <c r="H79" s="5"/>
      <c r="I79" s="4"/>
      <c r="J79" s="51">
        <f t="shared" si="37"/>
        <v>0</v>
      </c>
      <c r="K79" s="4"/>
      <c r="L79" s="4"/>
      <c r="M79" s="4"/>
      <c r="N79" s="4"/>
      <c r="O79" s="4"/>
      <c r="P79" s="4"/>
      <c r="Q79" s="26"/>
      <c r="R79" s="26"/>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row>
    <row r="80" spans="2:42">
      <c r="B80" s="5"/>
      <c r="C80" s="53" t="str">
        <f t="shared" si="38"/>
        <v/>
      </c>
      <c r="D80" s="5"/>
      <c r="E80" s="26"/>
      <c r="F80" s="26"/>
      <c r="G80" s="5"/>
      <c r="H80" s="5"/>
      <c r="I80" s="4"/>
      <c r="J80" s="51">
        <f t="shared" si="37"/>
        <v>0</v>
      </c>
      <c r="K80" s="4"/>
      <c r="L80" s="4"/>
      <c r="M80" s="4"/>
      <c r="N80" s="4"/>
      <c r="O80" s="4"/>
      <c r="P80" s="4"/>
      <c r="Q80" s="26"/>
      <c r="R80" s="26"/>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row>
    <row r="81" spans="2:42">
      <c r="B81" s="5"/>
      <c r="C81" s="53" t="str">
        <f t="shared" si="38"/>
        <v/>
      </c>
      <c r="D81" s="5"/>
      <c r="E81" s="26"/>
      <c r="F81" s="26"/>
      <c r="G81" s="5"/>
      <c r="H81" s="5"/>
      <c r="I81" s="4"/>
      <c r="J81" s="51">
        <f t="shared" si="37"/>
        <v>0</v>
      </c>
      <c r="K81" s="4"/>
      <c r="L81" s="4"/>
      <c r="M81" s="4"/>
      <c r="N81" s="4"/>
      <c r="O81" s="4"/>
      <c r="P81" s="4"/>
      <c r="Q81" s="26"/>
      <c r="R81" s="26"/>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row>
    <row r="82" spans="2:42">
      <c r="B82" s="5"/>
      <c r="C82" s="53" t="str">
        <f t="shared" si="38"/>
        <v/>
      </c>
      <c r="D82" s="5"/>
      <c r="E82" s="26"/>
      <c r="F82" s="26"/>
      <c r="G82" s="5"/>
      <c r="H82" s="5"/>
      <c r="I82" s="4"/>
      <c r="J82" s="51">
        <f t="shared" si="37"/>
        <v>0</v>
      </c>
      <c r="K82" s="4"/>
      <c r="L82" s="4"/>
      <c r="M82" s="4"/>
      <c r="N82" s="4"/>
      <c r="O82" s="4"/>
      <c r="P82" s="4"/>
      <c r="Q82" s="26"/>
      <c r="R82" s="26"/>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row>
    <row r="83" spans="2:42">
      <c r="B83" s="5"/>
      <c r="C83" s="53" t="str">
        <f t="shared" si="38"/>
        <v/>
      </c>
      <c r="D83" s="5"/>
      <c r="E83" s="26"/>
      <c r="F83" s="26"/>
      <c r="G83" s="5"/>
      <c r="H83" s="5"/>
      <c r="I83" s="4"/>
      <c r="J83" s="51">
        <f t="shared" si="37"/>
        <v>0</v>
      </c>
      <c r="K83" s="4"/>
      <c r="L83" s="4"/>
      <c r="M83" s="4"/>
      <c r="N83" s="4"/>
      <c r="O83" s="4"/>
      <c r="P83" s="4"/>
      <c r="Q83" s="26"/>
      <c r="R83" s="26"/>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row>
    <row r="84" spans="2:42">
      <c r="B84" s="5"/>
      <c r="C84" s="53" t="str">
        <f t="shared" si="38"/>
        <v/>
      </c>
      <c r="D84" s="5"/>
      <c r="E84" s="26"/>
      <c r="F84" s="26"/>
      <c r="G84" s="5"/>
      <c r="H84" s="5"/>
      <c r="I84" s="4"/>
      <c r="J84" s="51">
        <f t="shared" si="37"/>
        <v>0</v>
      </c>
      <c r="K84" s="4"/>
      <c r="L84" s="4"/>
      <c r="M84" s="4"/>
      <c r="N84" s="4"/>
      <c r="O84" s="4"/>
      <c r="P84" s="4"/>
      <c r="Q84" s="26"/>
      <c r="R84" s="26"/>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row>
    <row r="85" spans="2:42">
      <c r="B85" s="5"/>
      <c r="C85" s="53" t="str">
        <f t="shared" si="38"/>
        <v/>
      </c>
      <c r="D85" s="5"/>
      <c r="E85" s="26"/>
      <c r="F85" s="26"/>
      <c r="G85" s="5"/>
      <c r="H85" s="5"/>
      <c r="I85" s="4"/>
      <c r="J85" s="51">
        <f t="shared" si="37"/>
        <v>0</v>
      </c>
      <c r="K85" s="4"/>
      <c r="L85" s="4"/>
      <c r="M85" s="4"/>
      <c r="N85" s="4"/>
      <c r="O85" s="4"/>
      <c r="P85" s="4"/>
      <c r="Q85" s="26"/>
      <c r="R85" s="26"/>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row>
    <row r="86" spans="2:42">
      <c r="B86" s="5"/>
      <c r="C86" s="53" t="str">
        <f t="shared" si="38"/>
        <v/>
      </c>
      <c r="D86" s="5"/>
      <c r="E86" s="26"/>
      <c r="F86" s="26"/>
      <c r="G86" s="5"/>
      <c r="H86" s="5"/>
      <c r="I86" s="4"/>
      <c r="J86" s="51">
        <f t="shared" si="37"/>
        <v>0</v>
      </c>
      <c r="K86" s="4"/>
      <c r="L86" s="4"/>
      <c r="M86" s="4"/>
      <c r="N86" s="4"/>
      <c r="O86" s="4"/>
      <c r="P86" s="4"/>
      <c r="Q86" s="26"/>
      <c r="R86" s="26"/>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row>
    <row r="87" spans="2:42">
      <c r="B87" s="5"/>
      <c r="C87" s="53" t="str">
        <f t="shared" si="38"/>
        <v/>
      </c>
      <c r="D87" s="5"/>
      <c r="E87" s="26"/>
      <c r="F87" s="26"/>
      <c r="G87" s="5"/>
      <c r="H87" s="5"/>
      <c r="I87" s="4"/>
      <c r="J87" s="51">
        <f t="shared" si="37"/>
        <v>0</v>
      </c>
      <c r="K87" s="4"/>
      <c r="L87" s="4"/>
      <c r="M87" s="4"/>
      <c r="N87" s="4"/>
      <c r="O87" s="4"/>
      <c r="P87" s="4"/>
      <c r="Q87" s="26"/>
      <c r="R87" s="26"/>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row>
    <row r="88" spans="2:42">
      <c r="B88" s="5"/>
      <c r="C88" s="53" t="str">
        <f t="shared" si="38"/>
        <v/>
      </c>
      <c r="D88" s="5"/>
      <c r="E88" s="26"/>
      <c r="F88" s="26"/>
      <c r="G88" s="5"/>
      <c r="H88" s="5"/>
      <c r="I88" s="4"/>
      <c r="J88" s="51">
        <f t="shared" si="37"/>
        <v>0</v>
      </c>
      <c r="K88" s="4"/>
      <c r="L88" s="4"/>
      <c r="M88" s="4"/>
      <c r="N88" s="4"/>
      <c r="O88" s="4"/>
      <c r="P88" s="4"/>
      <c r="Q88" s="26"/>
      <c r="R88" s="26"/>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row>
    <row r="89" spans="2:42">
      <c r="B89" s="5"/>
      <c r="C89" s="53" t="str">
        <f t="shared" si="38"/>
        <v/>
      </c>
      <c r="D89" s="5"/>
      <c r="E89" s="26"/>
      <c r="F89" s="26"/>
      <c r="G89" s="5"/>
      <c r="H89" s="5"/>
      <c r="I89" s="4"/>
      <c r="J89" s="51">
        <f t="shared" si="37"/>
        <v>0</v>
      </c>
      <c r="K89" s="4"/>
      <c r="L89" s="4"/>
      <c r="M89" s="4"/>
      <c r="N89" s="4"/>
      <c r="O89" s="4"/>
      <c r="P89" s="4"/>
      <c r="Q89" s="26"/>
      <c r="R89" s="26"/>
      <c r="S89" s="28"/>
      <c r="T89" s="28"/>
      <c r="U89" s="28"/>
      <c r="V89" s="28"/>
      <c r="W89" s="28"/>
      <c r="X89" s="28"/>
      <c r="Y89" s="28"/>
      <c r="Z89" s="28"/>
      <c r="AA89" s="28"/>
      <c r="AB89" s="28"/>
      <c r="AC89" s="28"/>
      <c r="AD89" s="28"/>
      <c r="AE89" s="28"/>
      <c r="AF89" s="28"/>
      <c r="AG89" s="28"/>
      <c r="AH89" s="28"/>
      <c r="AI89" s="28"/>
      <c r="AJ89" s="28"/>
      <c r="AK89" s="28"/>
      <c r="AL89" s="28"/>
      <c r="AM89" s="28"/>
      <c r="AN89" s="28"/>
      <c r="AO89" s="28"/>
      <c r="AP89" s="28"/>
    </row>
    <row r="90" spans="2:42">
      <c r="B90" s="5"/>
      <c r="C90" s="53" t="str">
        <f t="shared" si="38"/>
        <v/>
      </c>
      <c r="D90" s="5"/>
      <c r="E90" s="26"/>
      <c r="F90" s="26"/>
      <c r="G90" s="5"/>
      <c r="H90" s="5"/>
      <c r="I90" s="4"/>
      <c r="J90" s="51">
        <f t="shared" si="37"/>
        <v>0</v>
      </c>
      <c r="K90" s="4"/>
      <c r="L90" s="4"/>
      <c r="M90" s="4"/>
      <c r="N90" s="4"/>
      <c r="O90" s="4"/>
      <c r="P90" s="4"/>
      <c r="Q90" s="26"/>
      <c r="R90" s="26"/>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row>
    <row r="91" spans="2:42">
      <c r="B91" s="5"/>
      <c r="C91" s="53" t="str">
        <f t="shared" si="38"/>
        <v/>
      </c>
      <c r="D91" s="5"/>
      <c r="E91" s="26"/>
      <c r="F91" s="26"/>
      <c r="G91" s="5"/>
      <c r="H91" s="5"/>
      <c r="I91" s="4"/>
      <c r="J91" s="51">
        <f t="shared" si="37"/>
        <v>0</v>
      </c>
      <c r="K91" s="4"/>
      <c r="L91" s="4"/>
      <c r="M91" s="4"/>
      <c r="N91" s="4"/>
      <c r="O91" s="4"/>
      <c r="P91" s="4"/>
      <c r="Q91" s="26"/>
      <c r="R91" s="26"/>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row>
    <row r="92" spans="2:42">
      <c r="B92" s="5"/>
      <c r="C92" s="53" t="str">
        <f t="shared" si="38"/>
        <v/>
      </c>
      <c r="D92" s="5"/>
      <c r="E92" s="26"/>
      <c r="F92" s="26"/>
      <c r="G92" s="5"/>
      <c r="H92" s="5"/>
      <c r="I92" s="4"/>
      <c r="J92" s="51">
        <f t="shared" si="37"/>
        <v>0</v>
      </c>
      <c r="K92" s="4"/>
      <c r="L92" s="4"/>
      <c r="M92" s="4"/>
      <c r="N92" s="4"/>
      <c r="O92" s="4"/>
      <c r="P92" s="4"/>
      <c r="Q92" s="26"/>
      <c r="R92" s="26"/>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row>
    <row r="93" spans="2:42">
      <c r="B93" s="5"/>
      <c r="C93" s="53" t="str">
        <f t="shared" si="38"/>
        <v/>
      </c>
      <c r="D93" s="5"/>
      <c r="E93" s="26"/>
      <c r="F93" s="26"/>
      <c r="G93" s="5"/>
      <c r="H93" s="5"/>
      <c r="I93" s="4"/>
      <c r="J93" s="51">
        <f t="shared" si="37"/>
        <v>0</v>
      </c>
      <c r="K93" s="4"/>
      <c r="L93" s="4"/>
      <c r="M93" s="4"/>
      <c r="N93" s="4"/>
      <c r="O93" s="4"/>
      <c r="P93" s="4"/>
      <c r="Q93" s="26"/>
      <c r="R93" s="26"/>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row>
    <row r="94" spans="2:42">
      <c r="B94" s="5"/>
      <c r="C94" s="53" t="str">
        <f t="shared" si="38"/>
        <v/>
      </c>
      <c r="D94" s="5"/>
      <c r="E94" s="26"/>
      <c r="F94" s="26"/>
      <c r="G94" s="5"/>
      <c r="H94" s="5"/>
      <c r="I94" s="4"/>
      <c r="J94" s="51">
        <f t="shared" si="37"/>
        <v>0</v>
      </c>
      <c r="K94" s="4"/>
      <c r="L94" s="4"/>
      <c r="M94" s="4"/>
      <c r="N94" s="4"/>
      <c r="O94" s="4"/>
      <c r="P94" s="4"/>
      <c r="Q94" s="26"/>
      <c r="R94" s="26"/>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row>
    <row r="95" spans="2:42">
      <c r="B95" s="5"/>
      <c r="C95" s="53" t="str">
        <f t="shared" si="38"/>
        <v/>
      </c>
      <c r="D95" s="5"/>
      <c r="E95" s="26"/>
      <c r="F95" s="26"/>
      <c r="G95" s="5"/>
      <c r="H95" s="5"/>
      <c r="I95" s="4"/>
      <c r="J95" s="51">
        <f t="shared" si="37"/>
        <v>0</v>
      </c>
      <c r="K95" s="4"/>
      <c r="L95" s="4"/>
      <c r="M95" s="4"/>
      <c r="N95" s="4"/>
      <c r="O95" s="4"/>
      <c r="P95" s="4"/>
      <c r="Q95" s="26"/>
      <c r="R95" s="26"/>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row>
    <row r="96" spans="2:42">
      <c r="B96" s="5"/>
      <c r="C96" s="53" t="str">
        <f t="shared" si="38"/>
        <v/>
      </c>
      <c r="D96" s="5"/>
      <c r="E96" s="26"/>
      <c r="F96" s="26"/>
      <c r="G96" s="5"/>
      <c r="H96" s="5"/>
      <c r="I96" s="4"/>
      <c r="J96" s="51">
        <f t="shared" si="37"/>
        <v>0</v>
      </c>
      <c r="K96" s="4"/>
      <c r="L96" s="4"/>
      <c r="M96" s="4"/>
      <c r="N96" s="4"/>
      <c r="O96" s="4"/>
      <c r="P96" s="4"/>
      <c r="Q96" s="26"/>
      <c r="R96" s="26"/>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row>
    <row r="97" spans="2:42">
      <c r="B97" s="5"/>
      <c r="C97" s="53" t="str">
        <f t="shared" si="38"/>
        <v/>
      </c>
      <c r="D97" s="5"/>
      <c r="E97" s="26"/>
      <c r="F97" s="26"/>
      <c r="G97" s="5"/>
      <c r="H97" s="5"/>
      <c r="I97" s="4"/>
      <c r="J97" s="51">
        <f t="shared" si="37"/>
        <v>0</v>
      </c>
      <c r="K97" s="4"/>
      <c r="L97" s="4"/>
      <c r="M97" s="4"/>
      <c r="N97" s="4"/>
      <c r="O97" s="4"/>
      <c r="P97" s="4"/>
      <c r="Q97" s="26"/>
      <c r="R97" s="26"/>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row>
    <row r="98" spans="2:42">
      <c r="B98" s="5"/>
      <c r="C98" s="53" t="str">
        <f t="shared" si="38"/>
        <v/>
      </c>
      <c r="D98" s="5"/>
      <c r="E98" s="26"/>
      <c r="F98" s="26"/>
      <c r="G98" s="5"/>
      <c r="H98" s="5"/>
      <c r="I98" s="4"/>
      <c r="J98" s="51">
        <f t="shared" si="37"/>
        <v>0</v>
      </c>
      <c r="K98" s="4"/>
      <c r="L98" s="4"/>
      <c r="M98" s="4"/>
      <c r="N98" s="4"/>
      <c r="O98" s="4"/>
      <c r="P98" s="4"/>
      <c r="Q98" s="26"/>
      <c r="R98" s="26"/>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row>
    <row r="99" spans="2:42">
      <c r="B99" s="5"/>
      <c r="C99" s="53" t="str">
        <f t="shared" si="38"/>
        <v/>
      </c>
      <c r="D99" s="5"/>
      <c r="E99" s="26"/>
      <c r="F99" s="26"/>
      <c r="G99" s="5"/>
      <c r="H99" s="5"/>
      <c r="I99" s="4"/>
      <c r="J99" s="51">
        <f t="shared" si="37"/>
        <v>0</v>
      </c>
      <c r="K99" s="4"/>
      <c r="L99" s="4"/>
      <c r="M99" s="4"/>
      <c r="N99" s="4"/>
      <c r="O99" s="4"/>
      <c r="P99" s="4"/>
      <c r="Q99" s="26"/>
      <c r="R99" s="26"/>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row>
    <row r="100" spans="2:42">
      <c r="B100" s="5"/>
      <c r="C100" s="53" t="str">
        <f t="shared" si="38"/>
        <v/>
      </c>
      <c r="D100" s="5"/>
      <c r="E100" s="26"/>
      <c r="F100" s="26"/>
      <c r="G100" s="5"/>
      <c r="H100" s="5"/>
      <c r="I100" s="4"/>
      <c r="J100" s="51">
        <f t="shared" si="37"/>
        <v>0</v>
      </c>
      <c r="K100" s="4"/>
      <c r="L100" s="4"/>
      <c r="M100" s="4"/>
      <c r="N100" s="4"/>
      <c r="O100" s="4"/>
      <c r="P100" s="4"/>
      <c r="Q100" s="26"/>
      <c r="R100" s="26"/>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row>
  </sheetData>
  <sheetProtection insertRows="0" autoFilter="0"/>
  <autoFilter ref="B39:AP76"/>
  <dataConsolidate/>
  <mergeCells count="6">
    <mergeCell ref="B26:B32"/>
    <mergeCell ref="C26:C27"/>
    <mergeCell ref="C28:C32"/>
    <mergeCell ref="B33:B36"/>
    <mergeCell ref="C33:C34"/>
    <mergeCell ref="C35:C36"/>
  </mergeCells>
  <phoneticPr fontId="15" type="noConversion"/>
  <conditionalFormatting sqref="O78:P90 B78:N122">
    <cfRule type="expression" dxfId="27" priority="11" stopIfTrue="1">
      <formula>$N78="InProgress"</formula>
    </cfRule>
    <cfRule type="expression" dxfId="26" priority="12" stopIfTrue="1">
      <formula>$N78="Completed"</formula>
    </cfRule>
  </conditionalFormatting>
  <conditionalFormatting sqref="B40:D100 G40:P100">
    <cfRule type="expression" dxfId="25" priority="13" stopIfTrue="1">
      <formula>$P40="InProgress"</formula>
    </cfRule>
    <cfRule type="expression" dxfId="24" priority="14" stopIfTrue="1">
      <formula>$P40="Completed"</formula>
    </cfRule>
  </conditionalFormatting>
  <conditionalFormatting sqref="W10:BA10 L39:AP39">
    <cfRule type="notContainsBlanks" dxfId="23" priority="10">
      <formula>LEN(TRIM(L10))&gt;0</formula>
    </cfRule>
  </conditionalFormatting>
  <conditionalFormatting sqref="W23:BA24">
    <cfRule type="notContainsBlanks" dxfId="22" priority="9">
      <formula>LEN(TRIM(W23))&gt;0</formula>
    </cfRule>
  </conditionalFormatting>
  <conditionalFormatting sqref="L40:AP76">
    <cfRule type="expression" dxfId="21" priority="7">
      <formula>WEEKDAY(L$39)=7</formula>
    </cfRule>
    <cfRule type="expression" dxfId="20" priority="8">
      <formula>WEEKDAY(L$39)=1</formula>
    </cfRule>
  </conditionalFormatting>
  <conditionalFormatting sqref="W11:BA22">
    <cfRule type="expression" dxfId="19" priority="5">
      <formula>WEEKDAY(L$39)=7</formula>
    </cfRule>
    <cfRule type="expression" dxfId="18" priority="6">
      <formula>WEEKDAY(L$39)=1</formula>
    </cfRule>
  </conditionalFormatting>
  <conditionalFormatting sqref="L77:AP100">
    <cfRule type="expression" dxfId="17" priority="3">
      <formula>WEEKDAY(L$39)=7</formula>
    </cfRule>
    <cfRule type="expression" dxfId="16" priority="4">
      <formula>WEEKDAY(L$39)=1</formula>
    </cfRule>
  </conditionalFormatting>
  <conditionalFormatting sqref="W22:BA22">
    <cfRule type="expression" dxfId="15" priority="1">
      <formula>WEEKDAY(L$39)=7</formula>
    </cfRule>
    <cfRule type="expression" dxfId="14" priority="2">
      <formula>WEEKDAY(L$39)=1</formula>
    </cfRule>
  </conditionalFormatting>
  <dataValidations count="9">
    <dataValidation type="list" allowBlank="1" showInputMessage="1" showErrorMessage="1" sqref="F40:F100">
      <formula1>Priority</formula1>
    </dataValidation>
    <dataValidation type="list" allowBlank="1" showInputMessage="1" showErrorMessage="1" sqref="E40:E100">
      <formula1>Team</formula1>
    </dataValidation>
    <dataValidation type="list" allowBlank="1" showInputMessage="1" showErrorMessage="1" sqref="K40:K100 N101:N167">
      <formula1>Status</formula1>
    </dataValidation>
    <dataValidation type="list" allowBlank="1" showInputMessage="1" showErrorMessage="1" sqref="WBU983100 G40:G100 VRY983100 VIC983100 UYG983100 UOK983100 UEO983100 TUS983100 TKW983100 TBA983100 SRE983100 SHI983100 RXM983100 RNQ983100 RDU983100 QTY983100 QKC983100 QAG983100 PQK983100 PGO983100 OWS983100 OMW983100 ODA983100 NTE983100 NJI983100 MZM983100 MPQ983100 MFU983100 LVY983100 LMC983100 LCG983100 KSK983100 KIO983100 JYS983100 JOW983100 JFA983100 IVE983100 ILI983100 IBM983100 HRQ983100 HHU983100 GXY983100 GOC983100 GEG983100 FUK983100 FKO983100 FAS983100 EQW983100 EHA983100 DXE983100 DNI983100 DDM983100 CTQ983100 CJU983100 BZY983100 BQC983100 BGG983100 AWK983100 AMO983100 ACS983100 SW983100 JA983100 E983100 WVM917564 WLQ917564 WBU917564 VRY917564 VIC917564 UYG917564 UOK917564 UEO917564 TUS917564 TKW917564 TBA917564 SRE917564 SHI917564 RXM917564 RNQ917564 RDU917564 QTY917564 QKC917564 QAG917564 PQK917564 PGO917564 OWS917564 OMW917564 ODA917564 NTE917564 NJI917564 MZM917564 MPQ917564 MFU917564 LVY917564 LMC917564 LCG917564 KSK917564 KIO917564 JYS917564 JOW917564 JFA917564 IVE917564 ILI917564 IBM917564 HRQ917564 HHU917564 GXY917564 GOC917564 GEG917564 FUK917564 FKO917564 FAS917564 EQW917564 EHA917564 DXE917564 DNI917564 DDM917564 CTQ917564 CJU917564 BZY917564 BQC917564 BGG917564 AWK917564 AMO917564 ACS917564 SW917564 JA917564 E917564 WVM852028 WLQ852028 WBU852028 VRY852028 VIC852028 UYG852028 UOK852028 UEO852028 TUS852028 TKW852028 TBA852028 SRE852028 SHI852028 RXM852028 RNQ852028 RDU852028 QTY852028 QKC852028 QAG852028 PQK852028 PGO852028 OWS852028 OMW852028 ODA852028 NTE852028 NJI852028 MZM852028 MPQ852028 MFU852028 LVY852028 LMC852028 LCG852028 KSK852028 KIO852028 JYS852028 JOW852028 JFA852028 IVE852028 ILI852028 IBM852028 HRQ852028 HHU852028 GXY852028 GOC852028 GEG852028 FUK852028 FKO852028 FAS852028 EQW852028 EHA852028 DXE852028 DNI852028 DDM852028 CTQ852028 CJU852028 BZY852028 BQC852028 BGG852028 AWK852028 AMO852028 ACS852028 SW852028 JA852028 E852028 WVM786492 WLQ786492 WBU786492 VRY786492 VIC786492 UYG786492 UOK786492 UEO786492 TUS786492 TKW786492 TBA786492 SRE786492 SHI786492 RXM786492 RNQ786492 RDU786492 QTY786492 QKC786492 QAG786492 PQK786492 PGO786492 OWS786492 OMW786492 ODA786492 NTE786492 NJI786492 MZM786492 MPQ786492 MFU786492 LVY786492 LMC786492 LCG786492 KSK786492 KIO786492 JYS786492 JOW786492 JFA786492 IVE786492 ILI786492 IBM786492 HRQ786492 HHU786492 GXY786492 GOC786492 GEG786492 FUK786492 FKO786492 FAS786492 EQW786492 EHA786492 DXE786492 DNI786492 DDM786492 CTQ786492 CJU786492 BZY786492 BQC786492 BGG786492 AWK786492 AMO786492 ACS786492 SW786492 JA786492 E786492 WVM720956 WLQ720956 WBU720956 VRY720956 VIC720956 UYG720956 UOK720956 UEO720956 TUS720956 TKW720956 TBA720956 SRE720956 SHI720956 RXM720956 RNQ720956 RDU720956 QTY720956 QKC720956 QAG720956 PQK720956 PGO720956 OWS720956 OMW720956 ODA720956 NTE720956 NJI720956 MZM720956 MPQ720956 MFU720956 LVY720956 LMC720956 LCG720956 KSK720956 KIO720956 JYS720956 JOW720956 JFA720956 IVE720956 ILI720956 IBM720956 HRQ720956 HHU720956 GXY720956 GOC720956 GEG720956 FUK720956 FKO720956 FAS720956 EQW720956 EHA720956 DXE720956 DNI720956 DDM720956 CTQ720956 CJU720956 BZY720956 BQC720956 BGG720956 AWK720956 AMO720956 ACS720956 SW720956 JA720956 E720956 WVM655420 WLQ655420 WBU655420 VRY655420 VIC655420 UYG655420 UOK655420 UEO655420 TUS655420 TKW655420 TBA655420 SRE655420 SHI655420 RXM655420 RNQ655420 RDU655420 QTY655420 QKC655420 QAG655420 PQK655420 PGO655420 OWS655420 OMW655420 ODA655420 NTE655420 NJI655420 MZM655420 MPQ655420 MFU655420 LVY655420 LMC655420 LCG655420 KSK655420 KIO655420 JYS655420 JOW655420 JFA655420 IVE655420 ILI655420 IBM655420 HRQ655420 HHU655420 GXY655420 GOC655420 GEG655420 FUK655420 FKO655420 FAS655420 EQW655420 EHA655420 DXE655420 DNI655420 DDM655420 CTQ655420 CJU655420 BZY655420 BQC655420 BGG655420 AWK655420 AMO655420 ACS655420 SW655420 JA655420 E655420 WVM589884 WLQ589884 WBU589884 VRY589884 VIC589884 UYG589884 UOK589884 UEO589884 TUS589884 TKW589884 TBA589884 SRE589884 SHI589884 RXM589884 RNQ589884 RDU589884 QTY589884 QKC589884 QAG589884 PQK589884 PGO589884 OWS589884 OMW589884 ODA589884 NTE589884 NJI589884 MZM589884 MPQ589884 MFU589884 LVY589884 LMC589884 LCG589884 KSK589884 KIO589884 JYS589884 JOW589884 JFA589884 IVE589884 ILI589884 IBM589884 HRQ589884 HHU589884 GXY589884 GOC589884 GEG589884 FUK589884 FKO589884 FAS589884 EQW589884 EHA589884 DXE589884 DNI589884 DDM589884 CTQ589884 CJU589884 BZY589884 BQC589884 BGG589884 AWK589884 AMO589884 ACS589884 SW589884 JA589884 E589884 WVM524348 WLQ524348 WBU524348 VRY524348 VIC524348 UYG524348 UOK524348 UEO524348 TUS524348 TKW524348 TBA524348 SRE524348 SHI524348 RXM524348 RNQ524348 RDU524348 QTY524348 QKC524348 QAG524348 PQK524348 PGO524348 OWS524348 OMW524348 ODA524348 NTE524348 NJI524348 MZM524348 MPQ524348 MFU524348 LVY524348 LMC524348 LCG524348 KSK524348 KIO524348 JYS524348 JOW524348 JFA524348 IVE524348 ILI524348 IBM524348 HRQ524348 HHU524348 GXY524348 GOC524348 GEG524348 FUK524348 FKO524348 FAS524348 EQW524348 EHA524348 DXE524348 DNI524348 DDM524348 CTQ524348 CJU524348 BZY524348 BQC524348 BGG524348 AWK524348 AMO524348 ACS524348 SW524348 JA524348 E524348 WVM458812 WLQ458812 WBU458812 VRY458812 VIC458812 UYG458812 UOK458812 UEO458812 TUS458812 TKW458812 TBA458812 SRE458812 SHI458812 RXM458812 RNQ458812 RDU458812 QTY458812 QKC458812 QAG458812 PQK458812 PGO458812 OWS458812 OMW458812 ODA458812 NTE458812 NJI458812 MZM458812 MPQ458812 MFU458812 LVY458812 LMC458812 LCG458812 KSK458812 KIO458812 JYS458812 JOW458812 JFA458812 IVE458812 ILI458812 IBM458812 HRQ458812 HHU458812 GXY458812 GOC458812 GEG458812 FUK458812 FKO458812 FAS458812 EQW458812 EHA458812 DXE458812 DNI458812 DDM458812 CTQ458812 CJU458812 BZY458812 BQC458812 BGG458812 AWK458812 AMO458812 ACS458812 SW458812 JA458812 E458812 WVM393276 WLQ393276 WBU393276 VRY393276 VIC393276 UYG393276 UOK393276 UEO393276 TUS393276 TKW393276 TBA393276 SRE393276 SHI393276 RXM393276 RNQ393276 RDU393276 QTY393276 QKC393276 QAG393276 PQK393276 PGO393276 OWS393276 OMW393276 ODA393276 NTE393276 NJI393276 MZM393276 MPQ393276 MFU393276 LVY393276 LMC393276 LCG393276 KSK393276 KIO393276 JYS393276 JOW393276 JFA393276 IVE393276 ILI393276 IBM393276 HRQ393276 HHU393276 GXY393276 GOC393276 GEG393276 FUK393276 FKO393276 FAS393276 EQW393276 EHA393276 DXE393276 DNI393276 DDM393276 CTQ393276 CJU393276 BZY393276 BQC393276 BGG393276 AWK393276 AMO393276 ACS393276 SW393276 JA393276 E393276 WVM327740 WLQ327740 WBU327740 VRY327740 VIC327740 UYG327740 UOK327740 UEO327740 TUS327740 TKW327740 TBA327740 SRE327740 SHI327740 RXM327740 RNQ327740 RDU327740 QTY327740 QKC327740 QAG327740 PQK327740 PGO327740 OWS327740 OMW327740 ODA327740 NTE327740 NJI327740 MZM327740 MPQ327740 MFU327740 LVY327740 LMC327740 LCG327740 KSK327740 KIO327740 JYS327740 JOW327740 JFA327740 IVE327740 ILI327740 IBM327740 HRQ327740 HHU327740 GXY327740 GOC327740 GEG327740 FUK327740 FKO327740 FAS327740 EQW327740 EHA327740 DXE327740 DNI327740 DDM327740 CTQ327740 CJU327740 BZY327740 BQC327740 BGG327740 AWK327740 AMO327740 ACS327740 SW327740 JA327740 E327740 WVM262204 WLQ262204 WBU262204 VRY262204 VIC262204 UYG262204 UOK262204 UEO262204 TUS262204 TKW262204 TBA262204 SRE262204 SHI262204 RXM262204 RNQ262204 RDU262204 QTY262204 QKC262204 QAG262204 PQK262204 PGO262204 OWS262204 OMW262204 ODA262204 NTE262204 NJI262204 MZM262204 MPQ262204 MFU262204 LVY262204 LMC262204 LCG262204 KSK262204 KIO262204 JYS262204 JOW262204 JFA262204 IVE262204 ILI262204 IBM262204 HRQ262204 HHU262204 GXY262204 GOC262204 GEG262204 FUK262204 FKO262204 FAS262204 EQW262204 EHA262204 DXE262204 DNI262204 DDM262204 CTQ262204 CJU262204 BZY262204 BQC262204 BGG262204 AWK262204 AMO262204 ACS262204 SW262204 JA262204 E262204 WVM196668 WLQ196668 WBU196668 VRY196668 VIC196668 UYG196668 UOK196668 UEO196668 TUS196668 TKW196668 TBA196668 SRE196668 SHI196668 RXM196668 RNQ196668 RDU196668 QTY196668 QKC196668 QAG196668 PQK196668 PGO196668 OWS196668 OMW196668 ODA196668 NTE196668 NJI196668 MZM196668 MPQ196668 MFU196668 LVY196668 LMC196668 LCG196668 KSK196668 KIO196668 JYS196668 JOW196668 JFA196668 IVE196668 ILI196668 IBM196668 HRQ196668 HHU196668 GXY196668 GOC196668 GEG196668 FUK196668 FKO196668 FAS196668 EQW196668 EHA196668 DXE196668 DNI196668 DDM196668 CTQ196668 CJU196668 BZY196668 BQC196668 BGG196668 AWK196668 AMO196668 ACS196668 SW196668 JA196668 E196668 WVM131132 WLQ131132 WBU131132 VRY131132 VIC131132 UYG131132 UOK131132 UEO131132 TUS131132 TKW131132 TBA131132 SRE131132 SHI131132 RXM131132 RNQ131132 RDU131132 QTY131132 QKC131132 QAG131132 PQK131132 PGO131132 OWS131132 OMW131132 ODA131132 NTE131132 NJI131132 MZM131132 MPQ131132 MFU131132 LVY131132 LMC131132 LCG131132 KSK131132 KIO131132 JYS131132 JOW131132 JFA131132 IVE131132 ILI131132 IBM131132 HRQ131132 HHU131132 GXY131132 GOC131132 GEG131132 FUK131132 FKO131132 FAS131132 EQW131132 EHA131132 DXE131132 DNI131132 DDM131132 CTQ131132 CJU131132 BZY131132 BQC131132 BGG131132 AWK131132 AMO131132 ACS131132 SW131132 JA131132 E131132 WVM65596 WLQ65596 WBU65596 VRY65596 VIC65596 UYG65596 UOK65596 UEO65596 TUS65596 TKW65596 TBA65596 SRE65596 SHI65596 RXM65596 RNQ65596 RDU65596 QTY65596 QKC65596 QAG65596 PQK65596 PGO65596 OWS65596 OMW65596 ODA65596 NTE65596 NJI65596 MZM65596 MPQ65596 MFU65596 LVY65596 LMC65596 LCG65596 KSK65596 KIO65596 JYS65596 JOW65596 JFA65596 IVE65596 ILI65596 IBM65596 HRQ65596 HHU65596 GXY65596 GOC65596 GEG65596 FUK65596 FKO65596 FAS65596 EQW65596 EHA65596 DXE65596 DNI65596 DDM65596 CTQ65596 CJU65596 BZY65596 BQC65596 BGG65596 AWK65596 AMO65596 ACS65596 SW65596 JA65596 E65596 WVM60 WLQ60 WBU60 VRY60 VIC60 UYG60 UOK60 UEO60 TUS60 TKW60 TBA60 SRE60 SHI60 RXM60 RNQ60 RDU60 QTY60 QKC60 QAG60 PQK60 PGO60 OWS60 OMW60 ODA60 NTE60 NJI60 MZM60 MPQ60 MFU60 LVY60 LMC60 LCG60 KSK60 KIO60 JYS60 JOW60 JFA60 IVE60 ILI60 IBM60 HRQ60 HHU60 GXY60 GOC60 GEG60 FUK60 FKO60 FAS60 EQW60 EHA60 DXE60 DNI60 DDM60 CTQ60 CJU60 BZY60 BQC60 BGG60 AWK60 AMO60 ACS60 SW60 JA60 WVM983100 WVM983103 WLQ983103 WBU983103 VRY983103 VIC983103 UYG983103 UOK983103 UEO983103 TUS983103 TKW983103 TBA983103 SRE983103 SHI983103 RXM983103 RNQ983103 RDU983103 QTY983103 QKC983103 QAG983103 PQK983103 PGO983103 OWS983103 OMW983103 ODA983103 NTE983103 NJI983103 MZM983103 MPQ983103 MFU983103 LVY983103 LMC983103 LCG983103 KSK983103 KIO983103 JYS983103 JOW983103 JFA983103 IVE983103 ILI983103 IBM983103 HRQ983103 HHU983103 GXY983103 GOC983103 GEG983103 FUK983103 FKO983103 FAS983103 EQW983103 EHA983103 DXE983103 DNI983103 DDM983103 CTQ983103 CJU983103 BZY983103 BQC983103 BGG983103 AWK983103 AMO983103 ACS983103 SW983103 JA983103 E983103 WVM917567 WLQ917567 WBU917567 VRY917567 VIC917567 UYG917567 UOK917567 UEO917567 TUS917567 TKW917567 TBA917567 SRE917567 SHI917567 RXM917567 RNQ917567 RDU917567 QTY917567 QKC917567 QAG917567 PQK917567 PGO917567 OWS917567 OMW917567 ODA917567 NTE917567 NJI917567 MZM917567 MPQ917567 MFU917567 LVY917567 LMC917567 LCG917567 KSK917567 KIO917567 JYS917567 JOW917567 JFA917567 IVE917567 ILI917567 IBM917567 HRQ917567 HHU917567 GXY917567 GOC917567 GEG917567 FUK917567 FKO917567 FAS917567 EQW917567 EHA917567 DXE917567 DNI917567 DDM917567 CTQ917567 CJU917567 BZY917567 BQC917567 BGG917567 AWK917567 AMO917567 ACS917567 SW917567 JA917567 E917567 WVM852031 WLQ852031 WBU852031 VRY852031 VIC852031 UYG852031 UOK852031 UEO852031 TUS852031 TKW852031 TBA852031 SRE852031 SHI852031 RXM852031 RNQ852031 RDU852031 QTY852031 QKC852031 QAG852031 PQK852031 PGO852031 OWS852031 OMW852031 ODA852031 NTE852031 NJI852031 MZM852031 MPQ852031 MFU852031 LVY852031 LMC852031 LCG852031 KSK852031 KIO852031 JYS852031 JOW852031 JFA852031 IVE852031 ILI852031 IBM852031 HRQ852031 HHU852031 GXY852031 GOC852031 GEG852031 FUK852031 FKO852031 FAS852031 EQW852031 EHA852031 DXE852031 DNI852031 DDM852031 CTQ852031 CJU852031 BZY852031 BQC852031 BGG852031 AWK852031 AMO852031 ACS852031 SW852031 JA852031 E852031 WVM786495 WLQ786495 WBU786495 VRY786495 VIC786495 UYG786495 UOK786495 UEO786495 TUS786495 TKW786495 TBA786495 SRE786495 SHI786495 RXM786495 RNQ786495 RDU786495 QTY786495 QKC786495 QAG786495 PQK786495 PGO786495 OWS786495 OMW786495 ODA786495 NTE786495 NJI786495 MZM786495 MPQ786495 MFU786495 LVY786495 LMC786495 LCG786495 KSK786495 KIO786495 JYS786495 JOW786495 JFA786495 IVE786495 ILI786495 IBM786495 HRQ786495 HHU786495 GXY786495 GOC786495 GEG786495 FUK786495 FKO786495 FAS786495 EQW786495 EHA786495 DXE786495 DNI786495 DDM786495 CTQ786495 CJU786495 BZY786495 BQC786495 BGG786495 AWK786495 AMO786495 ACS786495 SW786495 JA786495 E786495 WVM720959 WLQ720959 WBU720959 VRY720959 VIC720959 UYG720959 UOK720959 UEO720959 TUS720959 TKW720959 TBA720959 SRE720959 SHI720959 RXM720959 RNQ720959 RDU720959 QTY720959 QKC720959 QAG720959 PQK720959 PGO720959 OWS720959 OMW720959 ODA720959 NTE720959 NJI720959 MZM720959 MPQ720959 MFU720959 LVY720959 LMC720959 LCG720959 KSK720959 KIO720959 JYS720959 JOW720959 JFA720959 IVE720959 ILI720959 IBM720959 HRQ720959 HHU720959 GXY720959 GOC720959 GEG720959 FUK720959 FKO720959 FAS720959 EQW720959 EHA720959 DXE720959 DNI720959 DDM720959 CTQ720959 CJU720959 BZY720959 BQC720959 BGG720959 AWK720959 AMO720959 ACS720959 SW720959 JA720959 E720959 WVM655423 WLQ655423 WBU655423 VRY655423 VIC655423 UYG655423 UOK655423 UEO655423 TUS655423 TKW655423 TBA655423 SRE655423 SHI655423 RXM655423 RNQ655423 RDU655423 QTY655423 QKC655423 QAG655423 PQK655423 PGO655423 OWS655423 OMW655423 ODA655423 NTE655423 NJI655423 MZM655423 MPQ655423 MFU655423 LVY655423 LMC655423 LCG655423 KSK655423 KIO655423 JYS655423 JOW655423 JFA655423 IVE655423 ILI655423 IBM655423 HRQ655423 HHU655423 GXY655423 GOC655423 GEG655423 FUK655423 FKO655423 FAS655423 EQW655423 EHA655423 DXE655423 DNI655423 DDM655423 CTQ655423 CJU655423 BZY655423 BQC655423 BGG655423 AWK655423 AMO655423 ACS655423 SW655423 JA655423 E655423 WVM589887 WLQ589887 WBU589887 VRY589887 VIC589887 UYG589887 UOK589887 UEO589887 TUS589887 TKW589887 TBA589887 SRE589887 SHI589887 RXM589887 RNQ589887 RDU589887 QTY589887 QKC589887 QAG589887 PQK589887 PGO589887 OWS589887 OMW589887 ODA589887 NTE589887 NJI589887 MZM589887 MPQ589887 MFU589887 LVY589887 LMC589887 LCG589887 KSK589887 KIO589887 JYS589887 JOW589887 JFA589887 IVE589887 ILI589887 IBM589887 HRQ589887 HHU589887 GXY589887 GOC589887 GEG589887 FUK589887 FKO589887 FAS589887 EQW589887 EHA589887 DXE589887 DNI589887 DDM589887 CTQ589887 CJU589887 BZY589887 BQC589887 BGG589887 AWK589887 AMO589887 ACS589887 SW589887 JA589887 E589887 WVM524351 WLQ524351 WBU524351 VRY524351 VIC524351 UYG524351 UOK524351 UEO524351 TUS524351 TKW524351 TBA524351 SRE524351 SHI524351 RXM524351 RNQ524351 RDU524351 QTY524351 QKC524351 QAG524351 PQK524351 PGO524351 OWS524351 OMW524351 ODA524351 NTE524351 NJI524351 MZM524351 MPQ524351 MFU524351 LVY524351 LMC524351 LCG524351 KSK524351 KIO524351 JYS524351 JOW524351 JFA524351 IVE524351 ILI524351 IBM524351 HRQ524351 HHU524351 GXY524351 GOC524351 GEG524351 FUK524351 FKO524351 FAS524351 EQW524351 EHA524351 DXE524351 DNI524351 DDM524351 CTQ524351 CJU524351 BZY524351 BQC524351 BGG524351 AWK524351 AMO524351 ACS524351 SW524351 JA524351 E524351 WVM458815 WLQ458815 WBU458815 VRY458815 VIC458815 UYG458815 UOK458815 UEO458815 TUS458815 TKW458815 TBA458815 SRE458815 SHI458815 RXM458815 RNQ458815 RDU458815 QTY458815 QKC458815 QAG458815 PQK458815 PGO458815 OWS458815 OMW458815 ODA458815 NTE458815 NJI458815 MZM458815 MPQ458815 MFU458815 LVY458815 LMC458815 LCG458815 KSK458815 KIO458815 JYS458815 JOW458815 JFA458815 IVE458815 ILI458815 IBM458815 HRQ458815 HHU458815 GXY458815 GOC458815 GEG458815 FUK458815 FKO458815 FAS458815 EQW458815 EHA458815 DXE458815 DNI458815 DDM458815 CTQ458815 CJU458815 BZY458815 BQC458815 BGG458815 AWK458815 AMO458815 ACS458815 SW458815 JA458815 E458815 WVM393279 WLQ393279 WBU393279 VRY393279 VIC393279 UYG393279 UOK393279 UEO393279 TUS393279 TKW393279 TBA393279 SRE393279 SHI393279 RXM393279 RNQ393279 RDU393279 QTY393279 QKC393279 QAG393279 PQK393279 PGO393279 OWS393279 OMW393279 ODA393279 NTE393279 NJI393279 MZM393279 MPQ393279 MFU393279 LVY393279 LMC393279 LCG393279 KSK393279 KIO393279 JYS393279 JOW393279 JFA393279 IVE393279 ILI393279 IBM393279 HRQ393279 HHU393279 GXY393279 GOC393279 GEG393279 FUK393279 FKO393279 FAS393279 EQW393279 EHA393279 DXE393279 DNI393279 DDM393279 CTQ393279 CJU393279 BZY393279 BQC393279 BGG393279 AWK393279 AMO393279 ACS393279 SW393279 JA393279 E393279 WVM327743 WLQ327743 WBU327743 VRY327743 VIC327743 UYG327743 UOK327743 UEO327743 TUS327743 TKW327743 TBA327743 SRE327743 SHI327743 RXM327743 RNQ327743 RDU327743 QTY327743 QKC327743 QAG327743 PQK327743 PGO327743 OWS327743 OMW327743 ODA327743 NTE327743 NJI327743 MZM327743 MPQ327743 MFU327743 LVY327743 LMC327743 LCG327743 KSK327743 KIO327743 JYS327743 JOW327743 JFA327743 IVE327743 ILI327743 IBM327743 HRQ327743 HHU327743 GXY327743 GOC327743 GEG327743 FUK327743 FKO327743 FAS327743 EQW327743 EHA327743 DXE327743 DNI327743 DDM327743 CTQ327743 CJU327743 BZY327743 BQC327743 BGG327743 AWK327743 AMO327743 ACS327743 SW327743 JA327743 E327743 WVM262207 WLQ262207 WBU262207 VRY262207 VIC262207 UYG262207 UOK262207 UEO262207 TUS262207 TKW262207 TBA262207 SRE262207 SHI262207 RXM262207 RNQ262207 RDU262207 QTY262207 QKC262207 QAG262207 PQK262207 PGO262207 OWS262207 OMW262207 ODA262207 NTE262207 NJI262207 MZM262207 MPQ262207 MFU262207 LVY262207 LMC262207 LCG262207 KSK262207 KIO262207 JYS262207 JOW262207 JFA262207 IVE262207 ILI262207 IBM262207 HRQ262207 HHU262207 GXY262207 GOC262207 GEG262207 FUK262207 FKO262207 FAS262207 EQW262207 EHA262207 DXE262207 DNI262207 DDM262207 CTQ262207 CJU262207 BZY262207 BQC262207 BGG262207 AWK262207 AMO262207 ACS262207 SW262207 JA262207 E262207 WVM196671 WLQ196671 WBU196671 VRY196671 VIC196671 UYG196671 UOK196671 UEO196671 TUS196671 TKW196671 TBA196671 SRE196671 SHI196671 RXM196671 RNQ196671 RDU196671 QTY196671 QKC196671 QAG196671 PQK196671 PGO196671 OWS196671 OMW196671 ODA196671 NTE196671 NJI196671 MZM196671 MPQ196671 MFU196671 LVY196671 LMC196671 LCG196671 KSK196671 KIO196671 JYS196671 JOW196671 JFA196671 IVE196671 ILI196671 IBM196671 HRQ196671 HHU196671 GXY196671 GOC196671 GEG196671 FUK196671 FKO196671 FAS196671 EQW196671 EHA196671 DXE196671 DNI196671 DDM196671 CTQ196671 CJU196671 BZY196671 BQC196671 BGG196671 AWK196671 AMO196671 ACS196671 SW196671 JA196671 E196671 WVM131135 WLQ131135 WBU131135 VRY131135 VIC131135 UYG131135 UOK131135 UEO131135 TUS131135 TKW131135 TBA131135 SRE131135 SHI131135 RXM131135 RNQ131135 RDU131135 QTY131135 QKC131135 QAG131135 PQK131135 PGO131135 OWS131135 OMW131135 ODA131135 NTE131135 NJI131135 MZM131135 MPQ131135 MFU131135 LVY131135 LMC131135 LCG131135 KSK131135 KIO131135 JYS131135 JOW131135 JFA131135 IVE131135 ILI131135 IBM131135 HRQ131135 HHU131135 GXY131135 GOC131135 GEG131135 FUK131135 FKO131135 FAS131135 EQW131135 EHA131135 DXE131135 DNI131135 DDM131135 CTQ131135 CJU131135 BZY131135 BQC131135 BGG131135 AWK131135 AMO131135 ACS131135 SW131135 JA131135 E131135 WVM65599 WLQ65599 WBU65599 VRY65599 VIC65599 UYG65599 UOK65599 UEO65599 TUS65599 TKW65599 TBA65599 SRE65599 SHI65599 RXM65599 RNQ65599 RDU65599 QTY65599 QKC65599 QAG65599 PQK65599 PGO65599 OWS65599 OMW65599 ODA65599 NTE65599 NJI65599 MZM65599 MPQ65599 MFU65599 LVY65599 LMC65599 LCG65599 KSK65599 KIO65599 JYS65599 JOW65599 JFA65599 IVE65599 ILI65599 IBM65599 HRQ65599 HHU65599 GXY65599 GOC65599 GEG65599 FUK65599 FKO65599 FAS65599 EQW65599 EHA65599 DXE65599 DNI65599 DDM65599 CTQ65599 CJU65599 BZY65599 BQC65599 BGG65599 AWK65599 AMO65599 ACS65599 SW65599 JA65599 E65599 WVM63 WLQ63 WBU63 VRY63 VIC63 UYG63 UOK63 UEO63 TUS63 TKW63 TBA63 SRE63 SHI63 RXM63 RNQ63 RDU63 QTY63 QKC63 QAG63 PQK63 PGO63 OWS63 OMW63 ODA63 NTE63 NJI63 MZM63 MPQ63 MFU63 LVY63 LMC63 LCG63 KSK63 KIO63 JYS63 JOW63 JFA63 IVE63 ILI63 IBM63 HRQ63 HHU63 GXY63 GOC63 GEG63 FUK63 FKO63 FAS63 EQW63 EHA63 DXE63 DNI63 DDM63 CTQ63 CJU63 BZY63 BQC63 BGG63 AWK63 AMO63 ACS63 SW63 JA63 WLQ983100 WVN983090:WVN983521 WLR983090:WLR983521 WBV983090:WBV983521 VRZ983090:VRZ983521 VID983090:VID983521 UYH983090:UYH983521 UOL983090:UOL983521 UEP983090:UEP983521 TUT983090:TUT983521 TKX983090:TKX983521 TBB983090:TBB983521 SRF983090:SRF983521 SHJ983090:SHJ983521 RXN983090:RXN983521 RNR983090:RNR983521 RDV983090:RDV983521 QTZ983090:QTZ983521 QKD983090:QKD983521 QAH983090:QAH983521 PQL983090:PQL983521 PGP983090:PGP983521 OWT983090:OWT983521 OMX983090:OMX983521 ODB983090:ODB983521 NTF983090:NTF983521 NJJ983090:NJJ983521 MZN983090:MZN983521 MPR983090:MPR983521 MFV983090:MFV983521 LVZ983090:LVZ983521 LMD983090:LMD983521 LCH983090:LCH983521 KSL983090:KSL983521 KIP983090:KIP983521 JYT983090:JYT983521 JOX983090:JOX983521 JFB983090:JFB983521 IVF983090:IVF983521 ILJ983090:ILJ983521 IBN983090:IBN983521 HRR983090:HRR983521 HHV983090:HHV983521 GXZ983090:GXZ983521 GOD983090:GOD983521 GEH983090:GEH983521 FUL983090:FUL983521 FKP983090:FKP983521 FAT983090:FAT983521 EQX983090:EQX983521 EHB983090:EHB983521 DXF983090:DXF983521 DNJ983090:DNJ983521 DDN983090:DDN983521 CTR983090:CTR983521 CJV983090:CJV983521 BZZ983090:BZZ983521 BQD983090:BQD983521 BGH983090:BGH983521 AWL983090:AWL983521 AMP983090:AMP983521 ACT983090:ACT983521 SX983090:SX983521 JB983090:JB983521 F983090:F983521 WVN917554:WVN917985 WLR917554:WLR917985 WBV917554:WBV917985 VRZ917554:VRZ917985 VID917554:VID917985 UYH917554:UYH917985 UOL917554:UOL917985 UEP917554:UEP917985 TUT917554:TUT917985 TKX917554:TKX917985 TBB917554:TBB917985 SRF917554:SRF917985 SHJ917554:SHJ917985 RXN917554:RXN917985 RNR917554:RNR917985 RDV917554:RDV917985 QTZ917554:QTZ917985 QKD917554:QKD917985 QAH917554:QAH917985 PQL917554:PQL917985 PGP917554:PGP917985 OWT917554:OWT917985 OMX917554:OMX917985 ODB917554:ODB917985 NTF917554:NTF917985 NJJ917554:NJJ917985 MZN917554:MZN917985 MPR917554:MPR917985 MFV917554:MFV917985 LVZ917554:LVZ917985 LMD917554:LMD917985 LCH917554:LCH917985 KSL917554:KSL917985 KIP917554:KIP917985 JYT917554:JYT917985 JOX917554:JOX917985 JFB917554:JFB917985 IVF917554:IVF917985 ILJ917554:ILJ917985 IBN917554:IBN917985 HRR917554:HRR917985 HHV917554:HHV917985 GXZ917554:GXZ917985 GOD917554:GOD917985 GEH917554:GEH917985 FUL917554:FUL917985 FKP917554:FKP917985 FAT917554:FAT917985 EQX917554:EQX917985 EHB917554:EHB917985 DXF917554:DXF917985 DNJ917554:DNJ917985 DDN917554:DDN917985 CTR917554:CTR917985 CJV917554:CJV917985 BZZ917554:BZZ917985 BQD917554:BQD917985 BGH917554:BGH917985 AWL917554:AWL917985 AMP917554:AMP917985 ACT917554:ACT917985 SX917554:SX917985 JB917554:JB917985 F917554:F917985 WVN852018:WVN852449 WLR852018:WLR852449 WBV852018:WBV852449 VRZ852018:VRZ852449 VID852018:VID852449 UYH852018:UYH852449 UOL852018:UOL852449 UEP852018:UEP852449 TUT852018:TUT852449 TKX852018:TKX852449 TBB852018:TBB852449 SRF852018:SRF852449 SHJ852018:SHJ852449 RXN852018:RXN852449 RNR852018:RNR852449 RDV852018:RDV852449 QTZ852018:QTZ852449 QKD852018:QKD852449 QAH852018:QAH852449 PQL852018:PQL852449 PGP852018:PGP852449 OWT852018:OWT852449 OMX852018:OMX852449 ODB852018:ODB852449 NTF852018:NTF852449 NJJ852018:NJJ852449 MZN852018:MZN852449 MPR852018:MPR852449 MFV852018:MFV852449 LVZ852018:LVZ852449 LMD852018:LMD852449 LCH852018:LCH852449 KSL852018:KSL852449 KIP852018:KIP852449 JYT852018:JYT852449 JOX852018:JOX852449 JFB852018:JFB852449 IVF852018:IVF852449 ILJ852018:ILJ852449 IBN852018:IBN852449 HRR852018:HRR852449 HHV852018:HHV852449 GXZ852018:GXZ852449 GOD852018:GOD852449 GEH852018:GEH852449 FUL852018:FUL852449 FKP852018:FKP852449 FAT852018:FAT852449 EQX852018:EQX852449 EHB852018:EHB852449 DXF852018:DXF852449 DNJ852018:DNJ852449 DDN852018:DDN852449 CTR852018:CTR852449 CJV852018:CJV852449 BZZ852018:BZZ852449 BQD852018:BQD852449 BGH852018:BGH852449 AWL852018:AWL852449 AMP852018:AMP852449 ACT852018:ACT852449 SX852018:SX852449 JB852018:JB852449 F852018:F852449 WVN786482:WVN786913 WLR786482:WLR786913 WBV786482:WBV786913 VRZ786482:VRZ786913 VID786482:VID786913 UYH786482:UYH786913 UOL786482:UOL786913 UEP786482:UEP786913 TUT786482:TUT786913 TKX786482:TKX786913 TBB786482:TBB786913 SRF786482:SRF786913 SHJ786482:SHJ786913 RXN786482:RXN786913 RNR786482:RNR786913 RDV786482:RDV786913 QTZ786482:QTZ786913 QKD786482:QKD786913 QAH786482:QAH786913 PQL786482:PQL786913 PGP786482:PGP786913 OWT786482:OWT786913 OMX786482:OMX786913 ODB786482:ODB786913 NTF786482:NTF786913 NJJ786482:NJJ786913 MZN786482:MZN786913 MPR786482:MPR786913 MFV786482:MFV786913 LVZ786482:LVZ786913 LMD786482:LMD786913 LCH786482:LCH786913 KSL786482:KSL786913 KIP786482:KIP786913 JYT786482:JYT786913 JOX786482:JOX786913 JFB786482:JFB786913 IVF786482:IVF786913 ILJ786482:ILJ786913 IBN786482:IBN786913 HRR786482:HRR786913 HHV786482:HHV786913 GXZ786482:GXZ786913 GOD786482:GOD786913 GEH786482:GEH786913 FUL786482:FUL786913 FKP786482:FKP786913 FAT786482:FAT786913 EQX786482:EQX786913 EHB786482:EHB786913 DXF786482:DXF786913 DNJ786482:DNJ786913 DDN786482:DDN786913 CTR786482:CTR786913 CJV786482:CJV786913 BZZ786482:BZZ786913 BQD786482:BQD786913 BGH786482:BGH786913 AWL786482:AWL786913 AMP786482:AMP786913 ACT786482:ACT786913 SX786482:SX786913 JB786482:JB786913 F786482:F786913 WVN720946:WVN721377 WLR720946:WLR721377 WBV720946:WBV721377 VRZ720946:VRZ721377 VID720946:VID721377 UYH720946:UYH721377 UOL720946:UOL721377 UEP720946:UEP721377 TUT720946:TUT721377 TKX720946:TKX721377 TBB720946:TBB721377 SRF720946:SRF721377 SHJ720946:SHJ721377 RXN720946:RXN721377 RNR720946:RNR721377 RDV720946:RDV721377 QTZ720946:QTZ721377 QKD720946:QKD721377 QAH720946:QAH721377 PQL720946:PQL721377 PGP720946:PGP721377 OWT720946:OWT721377 OMX720946:OMX721377 ODB720946:ODB721377 NTF720946:NTF721377 NJJ720946:NJJ721377 MZN720946:MZN721377 MPR720946:MPR721377 MFV720946:MFV721377 LVZ720946:LVZ721377 LMD720946:LMD721377 LCH720946:LCH721377 KSL720946:KSL721377 KIP720946:KIP721377 JYT720946:JYT721377 JOX720946:JOX721377 JFB720946:JFB721377 IVF720946:IVF721377 ILJ720946:ILJ721377 IBN720946:IBN721377 HRR720946:HRR721377 HHV720946:HHV721377 GXZ720946:GXZ721377 GOD720946:GOD721377 GEH720946:GEH721377 FUL720946:FUL721377 FKP720946:FKP721377 FAT720946:FAT721377 EQX720946:EQX721377 EHB720946:EHB721377 DXF720946:DXF721377 DNJ720946:DNJ721377 DDN720946:DDN721377 CTR720946:CTR721377 CJV720946:CJV721377 BZZ720946:BZZ721377 BQD720946:BQD721377 BGH720946:BGH721377 AWL720946:AWL721377 AMP720946:AMP721377 ACT720946:ACT721377 SX720946:SX721377 JB720946:JB721377 F720946:F721377 WVN655410:WVN655841 WLR655410:WLR655841 WBV655410:WBV655841 VRZ655410:VRZ655841 VID655410:VID655841 UYH655410:UYH655841 UOL655410:UOL655841 UEP655410:UEP655841 TUT655410:TUT655841 TKX655410:TKX655841 TBB655410:TBB655841 SRF655410:SRF655841 SHJ655410:SHJ655841 RXN655410:RXN655841 RNR655410:RNR655841 RDV655410:RDV655841 QTZ655410:QTZ655841 QKD655410:QKD655841 QAH655410:QAH655841 PQL655410:PQL655841 PGP655410:PGP655841 OWT655410:OWT655841 OMX655410:OMX655841 ODB655410:ODB655841 NTF655410:NTF655841 NJJ655410:NJJ655841 MZN655410:MZN655841 MPR655410:MPR655841 MFV655410:MFV655841 LVZ655410:LVZ655841 LMD655410:LMD655841 LCH655410:LCH655841 KSL655410:KSL655841 KIP655410:KIP655841 JYT655410:JYT655841 JOX655410:JOX655841 JFB655410:JFB655841 IVF655410:IVF655841 ILJ655410:ILJ655841 IBN655410:IBN655841 HRR655410:HRR655841 HHV655410:HHV655841 GXZ655410:GXZ655841 GOD655410:GOD655841 GEH655410:GEH655841 FUL655410:FUL655841 FKP655410:FKP655841 FAT655410:FAT655841 EQX655410:EQX655841 EHB655410:EHB655841 DXF655410:DXF655841 DNJ655410:DNJ655841 DDN655410:DDN655841 CTR655410:CTR655841 CJV655410:CJV655841 BZZ655410:BZZ655841 BQD655410:BQD655841 BGH655410:BGH655841 AWL655410:AWL655841 AMP655410:AMP655841 ACT655410:ACT655841 SX655410:SX655841 JB655410:JB655841 F655410:F655841 WVN589874:WVN590305 WLR589874:WLR590305 WBV589874:WBV590305 VRZ589874:VRZ590305 VID589874:VID590305 UYH589874:UYH590305 UOL589874:UOL590305 UEP589874:UEP590305 TUT589874:TUT590305 TKX589874:TKX590305 TBB589874:TBB590305 SRF589874:SRF590305 SHJ589874:SHJ590305 RXN589874:RXN590305 RNR589874:RNR590305 RDV589874:RDV590305 QTZ589874:QTZ590305 QKD589874:QKD590305 QAH589874:QAH590305 PQL589874:PQL590305 PGP589874:PGP590305 OWT589874:OWT590305 OMX589874:OMX590305 ODB589874:ODB590305 NTF589874:NTF590305 NJJ589874:NJJ590305 MZN589874:MZN590305 MPR589874:MPR590305 MFV589874:MFV590305 LVZ589874:LVZ590305 LMD589874:LMD590305 LCH589874:LCH590305 KSL589874:KSL590305 KIP589874:KIP590305 JYT589874:JYT590305 JOX589874:JOX590305 JFB589874:JFB590305 IVF589874:IVF590305 ILJ589874:ILJ590305 IBN589874:IBN590305 HRR589874:HRR590305 HHV589874:HHV590305 GXZ589874:GXZ590305 GOD589874:GOD590305 GEH589874:GEH590305 FUL589874:FUL590305 FKP589874:FKP590305 FAT589874:FAT590305 EQX589874:EQX590305 EHB589874:EHB590305 DXF589874:DXF590305 DNJ589874:DNJ590305 DDN589874:DDN590305 CTR589874:CTR590305 CJV589874:CJV590305 BZZ589874:BZZ590305 BQD589874:BQD590305 BGH589874:BGH590305 AWL589874:AWL590305 AMP589874:AMP590305 ACT589874:ACT590305 SX589874:SX590305 JB589874:JB590305 F589874:F590305 WVN524338:WVN524769 WLR524338:WLR524769 WBV524338:WBV524769 VRZ524338:VRZ524769 VID524338:VID524769 UYH524338:UYH524769 UOL524338:UOL524769 UEP524338:UEP524769 TUT524338:TUT524769 TKX524338:TKX524769 TBB524338:TBB524769 SRF524338:SRF524769 SHJ524338:SHJ524769 RXN524338:RXN524769 RNR524338:RNR524769 RDV524338:RDV524769 QTZ524338:QTZ524769 QKD524338:QKD524769 QAH524338:QAH524769 PQL524338:PQL524769 PGP524338:PGP524769 OWT524338:OWT524769 OMX524338:OMX524769 ODB524338:ODB524769 NTF524338:NTF524769 NJJ524338:NJJ524769 MZN524338:MZN524769 MPR524338:MPR524769 MFV524338:MFV524769 LVZ524338:LVZ524769 LMD524338:LMD524769 LCH524338:LCH524769 KSL524338:KSL524769 KIP524338:KIP524769 JYT524338:JYT524769 JOX524338:JOX524769 JFB524338:JFB524769 IVF524338:IVF524769 ILJ524338:ILJ524769 IBN524338:IBN524769 HRR524338:HRR524769 HHV524338:HHV524769 GXZ524338:GXZ524769 GOD524338:GOD524769 GEH524338:GEH524769 FUL524338:FUL524769 FKP524338:FKP524769 FAT524338:FAT524769 EQX524338:EQX524769 EHB524338:EHB524769 DXF524338:DXF524769 DNJ524338:DNJ524769 DDN524338:DDN524769 CTR524338:CTR524769 CJV524338:CJV524769 BZZ524338:BZZ524769 BQD524338:BQD524769 BGH524338:BGH524769 AWL524338:AWL524769 AMP524338:AMP524769 ACT524338:ACT524769 SX524338:SX524769 JB524338:JB524769 F524338:F524769 WVN458802:WVN459233 WLR458802:WLR459233 WBV458802:WBV459233 VRZ458802:VRZ459233 VID458802:VID459233 UYH458802:UYH459233 UOL458802:UOL459233 UEP458802:UEP459233 TUT458802:TUT459233 TKX458802:TKX459233 TBB458802:TBB459233 SRF458802:SRF459233 SHJ458802:SHJ459233 RXN458802:RXN459233 RNR458802:RNR459233 RDV458802:RDV459233 QTZ458802:QTZ459233 QKD458802:QKD459233 QAH458802:QAH459233 PQL458802:PQL459233 PGP458802:PGP459233 OWT458802:OWT459233 OMX458802:OMX459233 ODB458802:ODB459233 NTF458802:NTF459233 NJJ458802:NJJ459233 MZN458802:MZN459233 MPR458802:MPR459233 MFV458802:MFV459233 LVZ458802:LVZ459233 LMD458802:LMD459233 LCH458802:LCH459233 KSL458802:KSL459233 KIP458802:KIP459233 JYT458802:JYT459233 JOX458802:JOX459233 JFB458802:JFB459233 IVF458802:IVF459233 ILJ458802:ILJ459233 IBN458802:IBN459233 HRR458802:HRR459233 HHV458802:HHV459233 GXZ458802:GXZ459233 GOD458802:GOD459233 GEH458802:GEH459233 FUL458802:FUL459233 FKP458802:FKP459233 FAT458802:FAT459233 EQX458802:EQX459233 EHB458802:EHB459233 DXF458802:DXF459233 DNJ458802:DNJ459233 DDN458802:DDN459233 CTR458802:CTR459233 CJV458802:CJV459233 BZZ458802:BZZ459233 BQD458802:BQD459233 BGH458802:BGH459233 AWL458802:AWL459233 AMP458802:AMP459233 ACT458802:ACT459233 SX458802:SX459233 JB458802:JB459233 F458802:F459233 WVN393266:WVN393697 WLR393266:WLR393697 WBV393266:WBV393697 VRZ393266:VRZ393697 VID393266:VID393697 UYH393266:UYH393697 UOL393266:UOL393697 UEP393266:UEP393697 TUT393266:TUT393697 TKX393266:TKX393697 TBB393266:TBB393697 SRF393266:SRF393697 SHJ393266:SHJ393697 RXN393266:RXN393697 RNR393266:RNR393697 RDV393266:RDV393697 QTZ393266:QTZ393697 QKD393266:QKD393697 QAH393266:QAH393697 PQL393266:PQL393697 PGP393266:PGP393697 OWT393266:OWT393697 OMX393266:OMX393697 ODB393266:ODB393697 NTF393266:NTF393697 NJJ393266:NJJ393697 MZN393266:MZN393697 MPR393266:MPR393697 MFV393266:MFV393697 LVZ393266:LVZ393697 LMD393266:LMD393697 LCH393266:LCH393697 KSL393266:KSL393697 KIP393266:KIP393697 JYT393266:JYT393697 JOX393266:JOX393697 JFB393266:JFB393697 IVF393266:IVF393697 ILJ393266:ILJ393697 IBN393266:IBN393697 HRR393266:HRR393697 HHV393266:HHV393697 GXZ393266:GXZ393697 GOD393266:GOD393697 GEH393266:GEH393697 FUL393266:FUL393697 FKP393266:FKP393697 FAT393266:FAT393697 EQX393266:EQX393697 EHB393266:EHB393697 DXF393266:DXF393697 DNJ393266:DNJ393697 DDN393266:DDN393697 CTR393266:CTR393697 CJV393266:CJV393697 BZZ393266:BZZ393697 BQD393266:BQD393697 BGH393266:BGH393697 AWL393266:AWL393697 AMP393266:AMP393697 ACT393266:ACT393697 SX393266:SX393697 JB393266:JB393697 F393266:F393697 WVN327730:WVN328161 WLR327730:WLR328161 WBV327730:WBV328161 VRZ327730:VRZ328161 VID327730:VID328161 UYH327730:UYH328161 UOL327730:UOL328161 UEP327730:UEP328161 TUT327730:TUT328161 TKX327730:TKX328161 TBB327730:TBB328161 SRF327730:SRF328161 SHJ327730:SHJ328161 RXN327730:RXN328161 RNR327730:RNR328161 RDV327730:RDV328161 QTZ327730:QTZ328161 QKD327730:QKD328161 QAH327730:QAH328161 PQL327730:PQL328161 PGP327730:PGP328161 OWT327730:OWT328161 OMX327730:OMX328161 ODB327730:ODB328161 NTF327730:NTF328161 NJJ327730:NJJ328161 MZN327730:MZN328161 MPR327730:MPR328161 MFV327730:MFV328161 LVZ327730:LVZ328161 LMD327730:LMD328161 LCH327730:LCH328161 KSL327730:KSL328161 KIP327730:KIP328161 JYT327730:JYT328161 JOX327730:JOX328161 JFB327730:JFB328161 IVF327730:IVF328161 ILJ327730:ILJ328161 IBN327730:IBN328161 HRR327730:HRR328161 HHV327730:HHV328161 GXZ327730:GXZ328161 GOD327730:GOD328161 GEH327730:GEH328161 FUL327730:FUL328161 FKP327730:FKP328161 FAT327730:FAT328161 EQX327730:EQX328161 EHB327730:EHB328161 DXF327730:DXF328161 DNJ327730:DNJ328161 DDN327730:DDN328161 CTR327730:CTR328161 CJV327730:CJV328161 BZZ327730:BZZ328161 BQD327730:BQD328161 BGH327730:BGH328161 AWL327730:AWL328161 AMP327730:AMP328161 ACT327730:ACT328161 SX327730:SX328161 JB327730:JB328161 F327730:F328161 WVN262194:WVN262625 WLR262194:WLR262625 WBV262194:WBV262625 VRZ262194:VRZ262625 VID262194:VID262625 UYH262194:UYH262625 UOL262194:UOL262625 UEP262194:UEP262625 TUT262194:TUT262625 TKX262194:TKX262625 TBB262194:TBB262625 SRF262194:SRF262625 SHJ262194:SHJ262625 RXN262194:RXN262625 RNR262194:RNR262625 RDV262194:RDV262625 QTZ262194:QTZ262625 QKD262194:QKD262625 QAH262194:QAH262625 PQL262194:PQL262625 PGP262194:PGP262625 OWT262194:OWT262625 OMX262194:OMX262625 ODB262194:ODB262625 NTF262194:NTF262625 NJJ262194:NJJ262625 MZN262194:MZN262625 MPR262194:MPR262625 MFV262194:MFV262625 LVZ262194:LVZ262625 LMD262194:LMD262625 LCH262194:LCH262625 KSL262194:KSL262625 KIP262194:KIP262625 JYT262194:JYT262625 JOX262194:JOX262625 JFB262194:JFB262625 IVF262194:IVF262625 ILJ262194:ILJ262625 IBN262194:IBN262625 HRR262194:HRR262625 HHV262194:HHV262625 GXZ262194:GXZ262625 GOD262194:GOD262625 GEH262194:GEH262625 FUL262194:FUL262625 FKP262194:FKP262625 FAT262194:FAT262625 EQX262194:EQX262625 EHB262194:EHB262625 DXF262194:DXF262625 DNJ262194:DNJ262625 DDN262194:DDN262625 CTR262194:CTR262625 CJV262194:CJV262625 BZZ262194:BZZ262625 BQD262194:BQD262625 BGH262194:BGH262625 AWL262194:AWL262625 AMP262194:AMP262625 ACT262194:ACT262625 SX262194:SX262625 JB262194:JB262625 F262194:F262625 WVN196658:WVN197089 WLR196658:WLR197089 WBV196658:WBV197089 VRZ196658:VRZ197089 VID196658:VID197089 UYH196658:UYH197089 UOL196658:UOL197089 UEP196658:UEP197089 TUT196658:TUT197089 TKX196658:TKX197089 TBB196658:TBB197089 SRF196658:SRF197089 SHJ196658:SHJ197089 RXN196658:RXN197089 RNR196658:RNR197089 RDV196658:RDV197089 QTZ196658:QTZ197089 QKD196658:QKD197089 QAH196658:QAH197089 PQL196658:PQL197089 PGP196658:PGP197089 OWT196658:OWT197089 OMX196658:OMX197089 ODB196658:ODB197089 NTF196658:NTF197089 NJJ196658:NJJ197089 MZN196658:MZN197089 MPR196658:MPR197089 MFV196658:MFV197089 LVZ196658:LVZ197089 LMD196658:LMD197089 LCH196658:LCH197089 KSL196658:KSL197089 KIP196658:KIP197089 JYT196658:JYT197089 JOX196658:JOX197089 JFB196658:JFB197089 IVF196658:IVF197089 ILJ196658:ILJ197089 IBN196658:IBN197089 HRR196658:HRR197089 HHV196658:HHV197089 GXZ196658:GXZ197089 GOD196658:GOD197089 GEH196658:GEH197089 FUL196658:FUL197089 FKP196658:FKP197089 FAT196658:FAT197089 EQX196658:EQX197089 EHB196658:EHB197089 DXF196658:DXF197089 DNJ196658:DNJ197089 DDN196658:DDN197089 CTR196658:CTR197089 CJV196658:CJV197089 BZZ196658:BZZ197089 BQD196658:BQD197089 BGH196658:BGH197089 AWL196658:AWL197089 AMP196658:AMP197089 ACT196658:ACT197089 SX196658:SX197089 JB196658:JB197089 F196658:F197089 WVN131122:WVN131553 WLR131122:WLR131553 WBV131122:WBV131553 VRZ131122:VRZ131553 VID131122:VID131553 UYH131122:UYH131553 UOL131122:UOL131553 UEP131122:UEP131553 TUT131122:TUT131553 TKX131122:TKX131553 TBB131122:TBB131553 SRF131122:SRF131553 SHJ131122:SHJ131553 RXN131122:RXN131553 RNR131122:RNR131553 RDV131122:RDV131553 QTZ131122:QTZ131553 QKD131122:QKD131553 QAH131122:QAH131553 PQL131122:PQL131553 PGP131122:PGP131553 OWT131122:OWT131553 OMX131122:OMX131553 ODB131122:ODB131553 NTF131122:NTF131553 NJJ131122:NJJ131553 MZN131122:MZN131553 MPR131122:MPR131553 MFV131122:MFV131553 LVZ131122:LVZ131553 LMD131122:LMD131553 LCH131122:LCH131553 KSL131122:KSL131553 KIP131122:KIP131553 JYT131122:JYT131553 JOX131122:JOX131553 JFB131122:JFB131553 IVF131122:IVF131553 ILJ131122:ILJ131553 IBN131122:IBN131553 HRR131122:HRR131553 HHV131122:HHV131553 GXZ131122:GXZ131553 GOD131122:GOD131553 GEH131122:GEH131553 FUL131122:FUL131553 FKP131122:FKP131553 FAT131122:FAT131553 EQX131122:EQX131553 EHB131122:EHB131553 DXF131122:DXF131553 DNJ131122:DNJ131553 DDN131122:DDN131553 CTR131122:CTR131553 CJV131122:CJV131553 BZZ131122:BZZ131553 BQD131122:BQD131553 BGH131122:BGH131553 AWL131122:AWL131553 AMP131122:AMP131553 ACT131122:ACT131553 SX131122:SX131553 JB131122:JB131553 F131122:F131553 WVN65586:WVN66017 WLR65586:WLR66017 WBV65586:WBV66017 VRZ65586:VRZ66017 VID65586:VID66017 UYH65586:UYH66017 UOL65586:UOL66017 UEP65586:UEP66017 TUT65586:TUT66017 TKX65586:TKX66017 TBB65586:TBB66017 SRF65586:SRF66017 SHJ65586:SHJ66017 RXN65586:RXN66017 RNR65586:RNR66017 RDV65586:RDV66017 QTZ65586:QTZ66017 QKD65586:QKD66017 QAH65586:QAH66017 PQL65586:PQL66017 PGP65586:PGP66017 OWT65586:OWT66017 OMX65586:OMX66017 ODB65586:ODB66017 NTF65586:NTF66017 NJJ65586:NJJ66017 MZN65586:MZN66017 MPR65586:MPR66017 MFV65586:MFV66017 LVZ65586:LVZ66017 LMD65586:LMD66017 LCH65586:LCH66017 KSL65586:KSL66017 KIP65586:KIP66017 JYT65586:JYT66017 JOX65586:JOX66017 JFB65586:JFB66017 IVF65586:IVF66017 ILJ65586:ILJ66017 IBN65586:IBN66017 HRR65586:HRR66017 HHV65586:HHV66017 GXZ65586:GXZ66017 GOD65586:GOD66017 GEH65586:GEH66017 FUL65586:FUL66017 FKP65586:FKP66017 FAT65586:FAT66017 EQX65586:EQX66017 EHB65586:EHB66017 DXF65586:DXF66017 DNJ65586:DNJ66017 DDN65586:DDN66017 CTR65586:CTR66017 CJV65586:CJV66017 BZZ65586:BZZ66017 BQD65586:BQD66017 BGH65586:BGH66017 AWL65586:AWL66017 AMP65586:AMP66017 ACT65586:ACT66017 SX65586:SX66017 JB65586:JB66017 F65586:F66017 WVN50:WVN481 WLR50:WLR481 WBV50:WBV481 VRZ50:VRZ481 VID50:VID481 UYH50:UYH481 UOL50:UOL481 UEP50:UEP481 TUT50:TUT481 TKX50:TKX481 TBB50:TBB481 SRF50:SRF481 SHJ50:SHJ481 RXN50:RXN481 RNR50:RNR481 RDV50:RDV481 QTZ50:QTZ481 QKD50:QKD481 QAH50:QAH481 PQL50:PQL481 PGP50:PGP481 OWT50:OWT481 OMX50:OMX481 ODB50:ODB481 NTF50:NTF481 NJJ50:NJJ481 MZN50:MZN481 MPR50:MPR481 MFV50:MFV481 LVZ50:LVZ481 LMD50:LMD481 LCH50:LCH481 KSL50:KSL481 KIP50:KIP481 JYT50:JYT481 JOX50:JOX481 JFB50:JFB481 IVF50:IVF481 ILJ50:ILJ481 IBN50:IBN481 HRR50:HRR481 HHV50:HHV481 GXZ50:GXZ481 GOD50:GOD481 GEH50:GEH481 FUL50:FUL481 FKP50:FKP481 FAT50:FAT481 EQX50:EQX481 EHB50:EHB481 DXF50:DXF481 DNJ50:DNJ481 DDN50:DDN481 CTR50:CTR481 CJV50:CJV481 BZZ50:BZZ481 BQD50:BQD481 BGH50:BGH481 AWL50:AWL481 AMP50:AMP481 ACT50:ACT481 SX50:SX481 JB50:JB481 F206:F481 WVM983097:WVM983098 WLQ983097:WLQ983098 WBU983097:WBU983098 VRY983097:VRY983098 VIC983097:VIC983098 UYG983097:UYG983098 UOK983097:UOK983098 UEO983097:UEO983098 TUS983097:TUS983098 TKW983097:TKW983098 TBA983097:TBA983098 SRE983097:SRE983098 SHI983097:SHI983098 RXM983097:RXM983098 RNQ983097:RNQ983098 RDU983097:RDU983098 QTY983097:QTY983098 QKC983097:QKC983098 QAG983097:QAG983098 PQK983097:PQK983098 PGO983097:PGO983098 OWS983097:OWS983098 OMW983097:OMW983098 ODA983097:ODA983098 NTE983097:NTE983098 NJI983097:NJI983098 MZM983097:MZM983098 MPQ983097:MPQ983098 MFU983097:MFU983098 LVY983097:LVY983098 LMC983097:LMC983098 LCG983097:LCG983098 KSK983097:KSK983098 KIO983097:KIO983098 JYS983097:JYS983098 JOW983097:JOW983098 JFA983097:JFA983098 IVE983097:IVE983098 ILI983097:ILI983098 IBM983097:IBM983098 HRQ983097:HRQ983098 HHU983097:HHU983098 GXY983097:GXY983098 GOC983097:GOC983098 GEG983097:GEG983098 FUK983097:FUK983098 FKO983097:FKO983098 FAS983097:FAS983098 EQW983097:EQW983098 EHA983097:EHA983098 DXE983097:DXE983098 DNI983097:DNI983098 DDM983097:DDM983098 CTQ983097:CTQ983098 CJU983097:CJU983098 BZY983097:BZY983098 BQC983097:BQC983098 BGG983097:BGG983098 AWK983097:AWK983098 AMO983097:AMO983098 ACS983097:ACS983098 SW983097:SW983098 JA983097:JA983098 E983097:E983098 WVM917561:WVM917562 WLQ917561:WLQ917562 WBU917561:WBU917562 VRY917561:VRY917562 VIC917561:VIC917562 UYG917561:UYG917562 UOK917561:UOK917562 UEO917561:UEO917562 TUS917561:TUS917562 TKW917561:TKW917562 TBA917561:TBA917562 SRE917561:SRE917562 SHI917561:SHI917562 RXM917561:RXM917562 RNQ917561:RNQ917562 RDU917561:RDU917562 QTY917561:QTY917562 QKC917561:QKC917562 QAG917561:QAG917562 PQK917561:PQK917562 PGO917561:PGO917562 OWS917561:OWS917562 OMW917561:OMW917562 ODA917561:ODA917562 NTE917561:NTE917562 NJI917561:NJI917562 MZM917561:MZM917562 MPQ917561:MPQ917562 MFU917561:MFU917562 LVY917561:LVY917562 LMC917561:LMC917562 LCG917561:LCG917562 KSK917561:KSK917562 KIO917561:KIO917562 JYS917561:JYS917562 JOW917561:JOW917562 JFA917561:JFA917562 IVE917561:IVE917562 ILI917561:ILI917562 IBM917561:IBM917562 HRQ917561:HRQ917562 HHU917561:HHU917562 GXY917561:GXY917562 GOC917561:GOC917562 GEG917561:GEG917562 FUK917561:FUK917562 FKO917561:FKO917562 FAS917561:FAS917562 EQW917561:EQW917562 EHA917561:EHA917562 DXE917561:DXE917562 DNI917561:DNI917562 DDM917561:DDM917562 CTQ917561:CTQ917562 CJU917561:CJU917562 BZY917561:BZY917562 BQC917561:BQC917562 BGG917561:BGG917562 AWK917561:AWK917562 AMO917561:AMO917562 ACS917561:ACS917562 SW917561:SW917562 JA917561:JA917562 E917561:E917562 WVM852025:WVM852026 WLQ852025:WLQ852026 WBU852025:WBU852026 VRY852025:VRY852026 VIC852025:VIC852026 UYG852025:UYG852026 UOK852025:UOK852026 UEO852025:UEO852026 TUS852025:TUS852026 TKW852025:TKW852026 TBA852025:TBA852026 SRE852025:SRE852026 SHI852025:SHI852026 RXM852025:RXM852026 RNQ852025:RNQ852026 RDU852025:RDU852026 QTY852025:QTY852026 QKC852025:QKC852026 QAG852025:QAG852026 PQK852025:PQK852026 PGO852025:PGO852026 OWS852025:OWS852026 OMW852025:OMW852026 ODA852025:ODA852026 NTE852025:NTE852026 NJI852025:NJI852026 MZM852025:MZM852026 MPQ852025:MPQ852026 MFU852025:MFU852026 LVY852025:LVY852026 LMC852025:LMC852026 LCG852025:LCG852026 KSK852025:KSK852026 KIO852025:KIO852026 JYS852025:JYS852026 JOW852025:JOW852026 JFA852025:JFA852026 IVE852025:IVE852026 ILI852025:ILI852026 IBM852025:IBM852026 HRQ852025:HRQ852026 HHU852025:HHU852026 GXY852025:GXY852026 GOC852025:GOC852026 GEG852025:GEG852026 FUK852025:FUK852026 FKO852025:FKO852026 FAS852025:FAS852026 EQW852025:EQW852026 EHA852025:EHA852026 DXE852025:DXE852026 DNI852025:DNI852026 DDM852025:DDM852026 CTQ852025:CTQ852026 CJU852025:CJU852026 BZY852025:BZY852026 BQC852025:BQC852026 BGG852025:BGG852026 AWK852025:AWK852026 AMO852025:AMO852026 ACS852025:ACS852026 SW852025:SW852026 JA852025:JA852026 E852025:E852026 WVM786489:WVM786490 WLQ786489:WLQ786490 WBU786489:WBU786490 VRY786489:VRY786490 VIC786489:VIC786490 UYG786489:UYG786490 UOK786489:UOK786490 UEO786489:UEO786490 TUS786489:TUS786490 TKW786489:TKW786490 TBA786489:TBA786490 SRE786489:SRE786490 SHI786489:SHI786490 RXM786489:RXM786490 RNQ786489:RNQ786490 RDU786489:RDU786490 QTY786489:QTY786490 QKC786489:QKC786490 QAG786489:QAG786490 PQK786489:PQK786490 PGO786489:PGO786490 OWS786489:OWS786490 OMW786489:OMW786490 ODA786489:ODA786490 NTE786489:NTE786490 NJI786489:NJI786490 MZM786489:MZM786490 MPQ786489:MPQ786490 MFU786489:MFU786490 LVY786489:LVY786490 LMC786489:LMC786490 LCG786489:LCG786490 KSK786489:KSK786490 KIO786489:KIO786490 JYS786489:JYS786490 JOW786489:JOW786490 JFA786489:JFA786490 IVE786489:IVE786490 ILI786489:ILI786490 IBM786489:IBM786490 HRQ786489:HRQ786490 HHU786489:HHU786490 GXY786489:GXY786490 GOC786489:GOC786490 GEG786489:GEG786490 FUK786489:FUK786490 FKO786489:FKO786490 FAS786489:FAS786490 EQW786489:EQW786490 EHA786489:EHA786490 DXE786489:DXE786490 DNI786489:DNI786490 DDM786489:DDM786490 CTQ786489:CTQ786490 CJU786489:CJU786490 BZY786489:BZY786490 BQC786489:BQC786490 BGG786489:BGG786490 AWK786489:AWK786490 AMO786489:AMO786490 ACS786489:ACS786490 SW786489:SW786490 JA786489:JA786490 E786489:E786490 WVM720953:WVM720954 WLQ720953:WLQ720954 WBU720953:WBU720954 VRY720953:VRY720954 VIC720953:VIC720954 UYG720953:UYG720954 UOK720953:UOK720954 UEO720953:UEO720954 TUS720953:TUS720954 TKW720953:TKW720954 TBA720953:TBA720954 SRE720953:SRE720954 SHI720953:SHI720954 RXM720953:RXM720954 RNQ720953:RNQ720954 RDU720953:RDU720954 QTY720953:QTY720954 QKC720953:QKC720954 QAG720953:QAG720954 PQK720953:PQK720954 PGO720953:PGO720954 OWS720953:OWS720954 OMW720953:OMW720954 ODA720953:ODA720954 NTE720953:NTE720954 NJI720953:NJI720954 MZM720953:MZM720954 MPQ720953:MPQ720954 MFU720953:MFU720954 LVY720953:LVY720954 LMC720953:LMC720954 LCG720953:LCG720954 KSK720953:KSK720954 KIO720953:KIO720954 JYS720953:JYS720954 JOW720953:JOW720954 JFA720953:JFA720954 IVE720953:IVE720954 ILI720953:ILI720954 IBM720953:IBM720954 HRQ720953:HRQ720954 HHU720953:HHU720954 GXY720953:GXY720954 GOC720953:GOC720954 GEG720953:GEG720954 FUK720953:FUK720954 FKO720953:FKO720954 FAS720953:FAS720954 EQW720953:EQW720954 EHA720953:EHA720954 DXE720953:DXE720954 DNI720953:DNI720954 DDM720953:DDM720954 CTQ720953:CTQ720954 CJU720953:CJU720954 BZY720953:BZY720954 BQC720953:BQC720954 BGG720953:BGG720954 AWK720953:AWK720954 AMO720953:AMO720954 ACS720953:ACS720954 SW720953:SW720954 JA720953:JA720954 E720953:E720954 WVM655417:WVM655418 WLQ655417:WLQ655418 WBU655417:WBU655418 VRY655417:VRY655418 VIC655417:VIC655418 UYG655417:UYG655418 UOK655417:UOK655418 UEO655417:UEO655418 TUS655417:TUS655418 TKW655417:TKW655418 TBA655417:TBA655418 SRE655417:SRE655418 SHI655417:SHI655418 RXM655417:RXM655418 RNQ655417:RNQ655418 RDU655417:RDU655418 QTY655417:QTY655418 QKC655417:QKC655418 QAG655417:QAG655418 PQK655417:PQK655418 PGO655417:PGO655418 OWS655417:OWS655418 OMW655417:OMW655418 ODA655417:ODA655418 NTE655417:NTE655418 NJI655417:NJI655418 MZM655417:MZM655418 MPQ655417:MPQ655418 MFU655417:MFU655418 LVY655417:LVY655418 LMC655417:LMC655418 LCG655417:LCG655418 KSK655417:KSK655418 KIO655417:KIO655418 JYS655417:JYS655418 JOW655417:JOW655418 JFA655417:JFA655418 IVE655417:IVE655418 ILI655417:ILI655418 IBM655417:IBM655418 HRQ655417:HRQ655418 HHU655417:HHU655418 GXY655417:GXY655418 GOC655417:GOC655418 GEG655417:GEG655418 FUK655417:FUK655418 FKO655417:FKO655418 FAS655417:FAS655418 EQW655417:EQW655418 EHA655417:EHA655418 DXE655417:DXE655418 DNI655417:DNI655418 DDM655417:DDM655418 CTQ655417:CTQ655418 CJU655417:CJU655418 BZY655417:BZY655418 BQC655417:BQC655418 BGG655417:BGG655418 AWK655417:AWK655418 AMO655417:AMO655418 ACS655417:ACS655418 SW655417:SW655418 JA655417:JA655418 E655417:E655418 WVM589881:WVM589882 WLQ589881:WLQ589882 WBU589881:WBU589882 VRY589881:VRY589882 VIC589881:VIC589882 UYG589881:UYG589882 UOK589881:UOK589882 UEO589881:UEO589882 TUS589881:TUS589882 TKW589881:TKW589882 TBA589881:TBA589882 SRE589881:SRE589882 SHI589881:SHI589882 RXM589881:RXM589882 RNQ589881:RNQ589882 RDU589881:RDU589882 QTY589881:QTY589882 QKC589881:QKC589882 QAG589881:QAG589882 PQK589881:PQK589882 PGO589881:PGO589882 OWS589881:OWS589882 OMW589881:OMW589882 ODA589881:ODA589882 NTE589881:NTE589882 NJI589881:NJI589882 MZM589881:MZM589882 MPQ589881:MPQ589882 MFU589881:MFU589882 LVY589881:LVY589882 LMC589881:LMC589882 LCG589881:LCG589882 KSK589881:KSK589882 KIO589881:KIO589882 JYS589881:JYS589882 JOW589881:JOW589882 JFA589881:JFA589882 IVE589881:IVE589882 ILI589881:ILI589882 IBM589881:IBM589882 HRQ589881:HRQ589882 HHU589881:HHU589882 GXY589881:GXY589882 GOC589881:GOC589882 GEG589881:GEG589882 FUK589881:FUK589882 FKO589881:FKO589882 FAS589881:FAS589882 EQW589881:EQW589882 EHA589881:EHA589882 DXE589881:DXE589882 DNI589881:DNI589882 DDM589881:DDM589882 CTQ589881:CTQ589882 CJU589881:CJU589882 BZY589881:BZY589882 BQC589881:BQC589882 BGG589881:BGG589882 AWK589881:AWK589882 AMO589881:AMO589882 ACS589881:ACS589882 SW589881:SW589882 JA589881:JA589882 E589881:E589882 WVM524345:WVM524346 WLQ524345:WLQ524346 WBU524345:WBU524346 VRY524345:VRY524346 VIC524345:VIC524346 UYG524345:UYG524346 UOK524345:UOK524346 UEO524345:UEO524346 TUS524345:TUS524346 TKW524345:TKW524346 TBA524345:TBA524346 SRE524345:SRE524346 SHI524345:SHI524346 RXM524345:RXM524346 RNQ524345:RNQ524346 RDU524345:RDU524346 QTY524345:QTY524346 QKC524345:QKC524346 QAG524345:QAG524346 PQK524345:PQK524346 PGO524345:PGO524346 OWS524345:OWS524346 OMW524345:OMW524346 ODA524345:ODA524346 NTE524345:NTE524346 NJI524345:NJI524346 MZM524345:MZM524346 MPQ524345:MPQ524346 MFU524345:MFU524346 LVY524345:LVY524346 LMC524345:LMC524346 LCG524345:LCG524346 KSK524345:KSK524346 KIO524345:KIO524346 JYS524345:JYS524346 JOW524345:JOW524346 JFA524345:JFA524346 IVE524345:IVE524346 ILI524345:ILI524346 IBM524345:IBM524346 HRQ524345:HRQ524346 HHU524345:HHU524346 GXY524345:GXY524346 GOC524345:GOC524346 GEG524345:GEG524346 FUK524345:FUK524346 FKO524345:FKO524346 FAS524345:FAS524346 EQW524345:EQW524346 EHA524345:EHA524346 DXE524345:DXE524346 DNI524345:DNI524346 DDM524345:DDM524346 CTQ524345:CTQ524346 CJU524345:CJU524346 BZY524345:BZY524346 BQC524345:BQC524346 BGG524345:BGG524346 AWK524345:AWK524346 AMO524345:AMO524346 ACS524345:ACS524346 SW524345:SW524346 JA524345:JA524346 E524345:E524346 WVM458809:WVM458810 WLQ458809:WLQ458810 WBU458809:WBU458810 VRY458809:VRY458810 VIC458809:VIC458810 UYG458809:UYG458810 UOK458809:UOK458810 UEO458809:UEO458810 TUS458809:TUS458810 TKW458809:TKW458810 TBA458809:TBA458810 SRE458809:SRE458810 SHI458809:SHI458810 RXM458809:RXM458810 RNQ458809:RNQ458810 RDU458809:RDU458810 QTY458809:QTY458810 QKC458809:QKC458810 QAG458809:QAG458810 PQK458809:PQK458810 PGO458809:PGO458810 OWS458809:OWS458810 OMW458809:OMW458810 ODA458809:ODA458810 NTE458809:NTE458810 NJI458809:NJI458810 MZM458809:MZM458810 MPQ458809:MPQ458810 MFU458809:MFU458810 LVY458809:LVY458810 LMC458809:LMC458810 LCG458809:LCG458810 KSK458809:KSK458810 KIO458809:KIO458810 JYS458809:JYS458810 JOW458809:JOW458810 JFA458809:JFA458810 IVE458809:IVE458810 ILI458809:ILI458810 IBM458809:IBM458810 HRQ458809:HRQ458810 HHU458809:HHU458810 GXY458809:GXY458810 GOC458809:GOC458810 GEG458809:GEG458810 FUK458809:FUK458810 FKO458809:FKO458810 FAS458809:FAS458810 EQW458809:EQW458810 EHA458809:EHA458810 DXE458809:DXE458810 DNI458809:DNI458810 DDM458809:DDM458810 CTQ458809:CTQ458810 CJU458809:CJU458810 BZY458809:BZY458810 BQC458809:BQC458810 BGG458809:BGG458810 AWK458809:AWK458810 AMO458809:AMO458810 ACS458809:ACS458810 SW458809:SW458810 JA458809:JA458810 E458809:E458810 WVM393273:WVM393274 WLQ393273:WLQ393274 WBU393273:WBU393274 VRY393273:VRY393274 VIC393273:VIC393274 UYG393273:UYG393274 UOK393273:UOK393274 UEO393273:UEO393274 TUS393273:TUS393274 TKW393273:TKW393274 TBA393273:TBA393274 SRE393273:SRE393274 SHI393273:SHI393274 RXM393273:RXM393274 RNQ393273:RNQ393274 RDU393273:RDU393274 QTY393273:QTY393274 QKC393273:QKC393274 QAG393273:QAG393274 PQK393273:PQK393274 PGO393273:PGO393274 OWS393273:OWS393274 OMW393273:OMW393274 ODA393273:ODA393274 NTE393273:NTE393274 NJI393273:NJI393274 MZM393273:MZM393274 MPQ393273:MPQ393274 MFU393273:MFU393274 LVY393273:LVY393274 LMC393273:LMC393274 LCG393273:LCG393274 KSK393273:KSK393274 KIO393273:KIO393274 JYS393273:JYS393274 JOW393273:JOW393274 JFA393273:JFA393274 IVE393273:IVE393274 ILI393273:ILI393274 IBM393273:IBM393274 HRQ393273:HRQ393274 HHU393273:HHU393274 GXY393273:GXY393274 GOC393273:GOC393274 GEG393273:GEG393274 FUK393273:FUK393274 FKO393273:FKO393274 FAS393273:FAS393274 EQW393273:EQW393274 EHA393273:EHA393274 DXE393273:DXE393274 DNI393273:DNI393274 DDM393273:DDM393274 CTQ393273:CTQ393274 CJU393273:CJU393274 BZY393273:BZY393274 BQC393273:BQC393274 BGG393273:BGG393274 AWK393273:AWK393274 AMO393273:AMO393274 ACS393273:ACS393274 SW393273:SW393274 JA393273:JA393274 E393273:E393274 WVM327737:WVM327738 WLQ327737:WLQ327738 WBU327737:WBU327738 VRY327737:VRY327738 VIC327737:VIC327738 UYG327737:UYG327738 UOK327737:UOK327738 UEO327737:UEO327738 TUS327737:TUS327738 TKW327737:TKW327738 TBA327737:TBA327738 SRE327737:SRE327738 SHI327737:SHI327738 RXM327737:RXM327738 RNQ327737:RNQ327738 RDU327737:RDU327738 QTY327737:QTY327738 QKC327737:QKC327738 QAG327737:QAG327738 PQK327737:PQK327738 PGO327737:PGO327738 OWS327737:OWS327738 OMW327737:OMW327738 ODA327737:ODA327738 NTE327737:NTE327738 NJI327737:NJI327738 MZM327737:MZM327738 MPQ327737:MPQ327738 MFU327737:MFU327738 LVY327737:LVY327738 LMC327737:LMC327738 LCG327737:LCG327738 KSK327737:KSK327738 KIO327737:KIO327738 JYS327737:JYS327738 JOW327737:JOW327738 JFA327737:JFA327738 IVE327737:IVE327738 ILI327737:ILI327738 IBM327737:IBM327738 HRQ327737:HRQ327738 HHU327737:HHU327738 GXY327737:GXY327738 GOC327737:GOC327738 GEG327737:GEG327738 FUK327737:FUK327738 FKO327737:FKO327738 FAS327737:FAS327738 EQW327737:EQW327738 EHA327737:EHA327738 DXE327737:DXE327738 DNI327737:DNI327738 DDM327737:DDM327738 CTQ327737:CTQ327738 CJU327737:CJU327738 BZY327737:BZY327738 BQC327737:BQC327738 BGG327737:BGG327738 AWK327737:AWK327738 AMO327737:AMO327738 ACS327737:ACS327738 SW327737:SW327738 JA327737:JA327738 E327737:E327738 WVM262201:WVM262202 WLQ262201:WLQ262202 WBU262201:WBU262202 VRY262201:VRY262202 VIC262201:VIC262202 UYG262201:UYG262202 UOK262201:UOK262202 UEO262201:UEO262202 TUS262201:TUS262202 TKW262201:TKW262202 TBA262201:TBA262202 SRE262201:SRE262202 SHI262201:SHI262202 RXM262201:RXM262202 RNQ262201:RNQ262202 RDU262201:RDU262202 QTY262201:QTY262202 QKC262201:QKC262202 QAG262201:QAG262202 PQK262201:PQK262202 PGO262201:PGO262202 OWS262201:OWS262202 OMW262201:OMW262202 ODA262201:ODA262202 NTE262201:NTE262202 NJI262201:NJI262202 MZM262201:MZM262202 MPQ262201:MPQ262202 MFU262201:MFU262202 LVY262201:LVY262202 LMC262201:LMC262202 LCG262201:LCG262202 KSK262201:KSK262202 KIO262201:KIO262202 JYS262201:JYS262202 JOW262201:JOW262202 JFA262201:JFA262202 IVE262201:IVE262202 ILI262201:ILI262202 IBM262201:IBM262202 HRQ262201:HRQ262202 HHU262201:HHU262202 GXY262201:GXY262202 GOC262201:GOC262202 GEG262201:GEG262202 FUK262201:FUK262202 FKO262201:FKO262202 FAS262201:FAS262202 EQW262201:EQW262202 EHA262201:EHA262202 DXE262201:DXE262202 DNI262201:DNI262202 DDM262201:DDM262202 CTQ262201:CTQ262202 CJU262201:CJU262202 BZY262201:BZY262202 BQC262201:BQC262202 BGG262201:BGG262202 AWK262201:AWK262202 AMO262201:AMO262202 ACS262201:ACS262202 SW262201:SW262202 JA262201:JA262202 E262201:E262202 WVM196665:WVM196666 WLQ196665:WLQ196666 WBU196665:WBU196666 VRY196665:VRY196666 VIC196665:VIC196666 UYG196665:UYG196666 UOK196665:UOK196666 UEO196665:UEO196666 TUS196665:TUS196666 TKW196665:TKW196666 TBA196665:TBA196666 SRE196665:SRE196666 SHI196665:SHI196666 RXM196665:RXM196666 RNQ196665:RNQ196666 RDU196665:RDU196666 QTY196665:QTY196666 QKC196665:QKC196666 QAG196665:QAG196666 PQK196665:PQK196666 PGO196665:PGO196666 OWS196665:OWS196666 OMW196665:OMW196666 ODA196665:ODA196666 NTE196665:NTE196666 NJI196665:NJI196666 MZM196665:MZM196666 MPQ196665:MPQ196666 MFU196665:MFU196666 LVY196665:LVY196666 LMC196665:LMC196666 LCG196665:LCG196666 KSK196665:KSK196666 KIO196665:KIO196666 JYS196665:JYS196666 JOW196665:JOW196666 JFA196665:JFA196666 IVE196665:IVE196666 ILI196665:ILI196666 IBM196665:IBM196666 HRQ196665:HRQ196666 HHU196665:HHU196666 GXY196665:GXY196666 GOC196665:GOC196666 GEG196665:GEG196666 FUK196665:FUK196666 FKO196665:FKO196666 FAS196665:FAS196666 EQW196665:EQW196666 EHA196665:EHA196666 DXE196665:DXE196666 DNI196665:DNI196666 DDM196665:DDM196666 CTQ196665:CTQ196666 CJU196665:CJU196666 BZY196665:BZY196666 BQC196665:BQC196666 BGG196665:BGG196666 AWK196665:AWK196666 AMO196665:AMO196666 ACS196665:ACS196666 SW196665:SW196666 JA196665:JA196666 E196665:E196666 WVM131129:WVM131130 WLQ131129:WLQ131130 WBU131129:WBU131130 VRY131129:VRY131130 VIC131129:VIC131130 UYG131129:UYG131130 UOK131129:UOK131130 UEO131129:UEO131130 TUS131129:TUS131130 TKW131129:TKW131130 TBA131129:TBA131130 SRE131129:SRE131130 SHI131129:SHI131130 RXM131129:RXM131130 RNQ131129:RNQ131130 RDU131129:RDU131130 QTY131129:QTY131130 QKC131129:QKC131130 QAG131129:QAG131130 PQK131129:PQK131130 PGO131129:PGO131130 OWS131129:OWS131130 OMW131129:OMW131130 ODA131129:ODA131130 NTE131129:NTE131130 NJI131129:NJI131130 MZM131129:MZM131130 MPQ131129:MPQ131130 MFU131129:MFU131130 LVY131129:LVY131130 LMC131129:LMC131130 LCG131129:LCG131130 KSK131129:KSK131130 KIO131129:KIO131130 JYS131129:JYS131130 JOW131129:JOW131130 JFA131129:JFA131130 IVE131129:IVE131130 ILI131129:ILI131130 IBM131129:IBM131130 HRQ131129:HRQ131130 HHU131129:HHU131130 GXY131129:GXY131130 GOC131129:GOC131130 GEG131129:GEG131130 FUK131129:FUK131130 FKO131129:FKO131130 FAS131129:FAS131130 EQW131129:EQW131130 EHA131129:EHA131130 DXE131129:DXE131130 DNI131129:DNI131130 DDM131129:DDM131130 CTQ131129:CTQ131130 CJU131129:CJU131130 BZY131129:BZY131130 BQC131129:BQC131130 BGG131129:BGG131130 AWK131129:AWK131130 AMO131129:AMO131130 ACS131129:ACS131130 SW131129:SW131130 JA131129:JA131130 E131129:E131130 WVM65593:WVM65594 WLQ65593:WLQ65594 WBU65593:WBU65594 VRY65593:VRY65594 VIC65593:VIC65594 UYG65593:UYG65594 UOK65593:UOK65594 UEO65593:UEO65594 TUS65593:TUS65594 TKW65593:TKW65594 TBA65593:TBA65594 SRE65593:SRE65594 SHI65593:SHI65594 RXM65593:RXM65594 RNQ65593:RNQ65594 RDU65593:RDU65594 QTY65593:QTY65594 QKC65593:QKC65594 QAG65593:QAG65594 PQK65593:PQK65594 PGO65593:PGO65594 OWS65593:OWS65594 OMW65593:OMW65594 ODA65593:ODA65594 NTE65593:NTE65594 NJI65593:NJI65594 MZM65593:MZM65594 MPQ65593:MPQ65594 MFU65593:MFU65594 LVY65593:LVY65594 LMC65593:LMC65594 LCG65593:LCG65594 KSK65593:KSK65594 KIO65593:KIO65594 JYS65593:JYS65594 JOW65593:JOW65594 JFA65593:JFA65594 IVE65593:IVE65594 ILI65593:ILI65594 IBM65593:IBM65594 HRQ65593:HRQ65594 HHU65593:HHU65594 GXY65593:GXY65594 GOC65593:GOC65594 GEG65593:GEG65594 FUK65593:FUK65594 FKO65593:FKO65594 FAS65593:FAS65594 EQW65593:EQW65594 EHA65593:EHA65594 DXE65593:DXE65594 DNI65593:DNI65594 DDM65593:DDM65594 CTQ65593:CTQ65594 CJU65593:CJU65594 BZY65593:BZY65594 BQC65593:BQC65594 BGG65593:BGG65594 AWK65593:AWK65594 AMO65593:AMO65594 ACS65593:ACS65594 SW65593:SW65594 JA65593:JA65594 E65593:E65594 WVM57:WVM58 WLQ57:WLQ58 WBU57:WBU58 VRY57:VRY58 VIC57:VIC58 UYG57:UYG58 UOK57:UOK58 UEO57:UEO58 TUS57:TUS58 TKW57:TKW58 TBA57:TBA58 SRE57:SRE58 SHI57:SHI58 RXM57:RXM58 RNQ57:RNQ58 RDU57:RDU58 QTY57:QTY58 QKC57:QKC58 QAG57:QAG58 PQK57:PQK58 PGO57:PGO58 OWS57:OWS58 OMW57:OMW58 ODA57:ODA58 NTE57:NTE58 NJI57:NJI58 MZM57:MZM58 MPQ57:MPQ58 MFU57:MFU58 LVY57:LVY58 LMC57:LMC58 LCG57:LCG58 KSK57:KSK58 KIO57:KIO58 JYS57:JYS58 JOW57:JOW58 JFA57:JFA58 IVE57:IVE58 ILI57:ILI58 IBM57:IBM58 HRQ57:HRQ58 HHU57:HHU58 GXY57:GXY58 GOC57:GOC58 GEG57:GEG58 FUK57:FUK58 FKO57:FKO58 FAS57:FAS58 EQW57:EQW58 EHA57:EHA58 DXE57:DXE58 DNI57:DNI58 DDM57:DDM58 CTQ57:CTQ58 CJU57:CJU58 BZY57:BZY58 BQC57:BQC58 BGG57:BGG58 AWK57:AWK58 AMO57:AMO58 ACS57:ACS58 SW57:SW58 JA57:JA58">
      <formula1>Names</formula1>
    </dataValidation>
    <dataValidation type="list" allowBlank="1" showInputMessage="1" showErrorMessage="1" sqref="E35:E36 WVM983070:WVM983072 WLQ983070:WLQ983072 WBU983070:WBU983072 VRY983070:VRY983072 VIC983070:VIC983072 UYG983070:UYG983072 UOK983070:UOK983072 UEO983070:UEO983072 TUS983070:TUS983072 TKW983070:TKW983072 TBA983070:TBA983072 SRE983070:SRE983072 SHI983070:SHI983072 RXM983070:RXM983072 RNQ983070:RNQ983072 RDU983070:RDU983072 QTY983070:QTY983072 QKC983070:QKC983072 QAG983070:QAG983072 PQK983070:PQK983072 PGO983070:PGO983072 OWS983070:OWS983072 OMW983070:OMW983072 ODA983070:ODA983072 NTE983070:NTE983072 NJI983070:NJI983072 MZM983070:MZM983072 MPQ983070:MPQ983072 MFU983070:MFU983072 LVY983070:LVY983072 LMC983070:LMC983072 LCG983070:LCG983072 KSK983070:KSK983072 KIO983070:KIO983072 JYS983070:JYS983072 JOW983070:JOW983072 JFA983070:JFA983072 IVE983070:IVE983072 ILI983070:ILI983072 IBM983070:IBM983072 HRQ983070:HRQ983072 HHU983070:HHU983072 GXY983070:GXY983072 GOC983070:GOC983072 GEG983070:GEG983072 FUK983070:FUK983072 FKO983070:FKO983072 FAS983070:FAS983072 EQW983070:EQW983072 EHA983070:EHA983072 DXE983070:DXE983072 DNI983070:DNI983072 DDM983070:DDM983072 CTQ983070:CTQ983072 CJU983070:CJU983072 BZY983070:BZY983072 BQC983070:BQC983072 BGG983070:BGG983072 AWK983070:AWK983072 AMO983070:AMO983072 ACS983070:ACS983072 SW983070:SW983072 JA983070:JA983072 E983070:E983072 WVM917534:WVM917536 WLQ917534:WLQ917536 WBU917534:WBU917536 VRY917534:VRY917536 VIC917534:VIC917536 UYG917534:UYG917536 UOK917534:UOK917536 UEO917534:UEO917536 TUS917534:TUS917536 TKW917534:TKW917536 TBA917534:TBA917536 SRE917534:SRE917536 SHI917534:SHI917536 RXM917534:RXM917536 RNQ917534:RNQ917536 RDU917534:RDU917536 QTY917534:QTY917536 QKC917534:QKC917536 QAG917534:QAG917536 PQK917534:PQK917536 PGO917534:PGO917536 OWS917534:OWS917536 OMW917534:OMW917536 ODA917534:ODA917536 NTE917534:NTE917536 NJI917534:NJI917536 MZM917534:MZM917536 MPQ917534:MPQ917536 MFU917534:MFU917536 LVY917534:LVY917536 LMC917534:LMC917536 LCG917534:LCG917536 KSK917534:KSK917536 KIO917534:KIO917536 JYS917534:JYS917536 JOW917534:JOW917536 JFA917534:JFA917536 IVE917534:IVE917536 ILI917534:ILI917536 IBM917534:IBM917536 HRQ917534:HRQ917536 HHU917534:HHU917536 GXY917534:GXY917536 GOC917534:GOC917536 GEG917534:GEG917536 FUK917534:FUK917536 FKO917534:FKO917536 FAS917534:FAS917536 EQW917534:EQW917536 EHA917534:EHA917536 DXE917534:DXE917536 DNI917534:DNI917536 DDM917534:DDM917536 CTQ917534:CTQ917536 CJU917534:CJU917536 BZY917534:BZY917536 BQC917534:BQC917536 BGG917534:BGG917536 AWK917534:AWK917536 AMO917534:AMO917536 ACS917534:ACS917536 SW917534:SW917536 JA917534:JA917536 E917534:E917536 WVM851998:WVM852000 WLQ851998:WLQ852000 WBU851998:WBU852000 VRY851998:VRY852000 VIC851998:VIC852000 UYG851998:UYG852000 UOK851998:UOK852000 UEO851998:UEO852000 TUS851998:TUS852000 TKW851998:TKW852000 TBA851998:TBA852000 SRE851998:SRE852000 SHI851998:SHI852000 RXM851998:RXM852000 RNQ851998:RNQ852000 RDU851998:RDU852000 QTY851998:QTY852000 QKC851998:QKC852000 QAG851998:QAG852000 PQK851998:PQK852000 PGO851998:PGO852000 OWS851998:OWS852000 OMW851998:OMW852000 ODA851998:ODA852000 NTE851998:NTE852000 NJI851998:NJI852000 MZM851998:MZM852000 MPQ851998:MPQ852000 MFU851998:MFU852000 LVY851998:LVY852000 LMC851998:LMC852000 LCG851998:LCG852000 KSK851998:KSK852000 KIO851998:KIO852000 JYS851998:JYS852000 JOW851998:JOW852000 JFA851998:JFA852000 IVE851998:IVE852000 ILI851998:ILI852000 IBM851998:IBM852000 HRQ851998:HRQ852000 HHU851998:HHU852000 GXY851998:GXY852000 GOC851998:GOC852000 GEG851998:GEG852000 FUK851998:FUK852000 FKO851998:FKO852000 FAS851998:FAS852000 EQW851998:EQW852000 EHA851998:EHA852000 DXE851998:DXE852000 DNI851998:DNI852000 DDM851998:DDM852000 CTQ851998:CTQ852000 CJU851998:CJU852000 BZY851998:BZY852000 BQC851998:BQC852000 BGG851998:BGG852000 AWK851998:AWK852000 AMO851998:AMO852000 ACS851998:ACS852000 SW851998:SW852000 JA851998:JA852000 E851998:E852000 WVM786462:WVM786464 WLQ786462:WLQ786464 WBU786462:WBU786464 VRY786462:VRY786464 VIC786462:VIC786464 UYG786462:UYG786464 UOK786462:UOK786464 UEO786462:UEO786464 TUS786462:TUS786464 TKW786462:TKW786464 TBA786462:TBA786464 SRE786462:SRE786464 SHI786462:SHI786464 RXM786462:RXM786464 RNQ786462:RNQ786464 RDU786462:RDU786464 QTY786462:QTY786464 QKC786462:QKC786464 QAG786462:QAG786464 PQK786462:PQK786464 PGO786462:PGO786464 OWS786462:OWS786464 OMW786462:OMW786464 ODA786462:ODA786464 NTE786462:NTE786464 NJI786462:NJI786464 MZM786462:MZM786464 MPQ786462:MPQ786464 MFU786462:MFU786464 LVY786462:LVY786464 LMC786462:LMC786464 LCG786462:LCG786464 KSK786462:KSK786464 KIO786462:KIO786464 JYS786462:JYS786464 JOW786462:JOW786464 JFA786462:JFA786464 IVE786462:IVE786464 ILI786462:ILI786464 IBM786462:IBM786464 HRQ786462:HRQ786464 HHU786462:HHU786464 GXY786462:GXY786464 GOC786462:GOC786464 GEG786462:GEG786464 FUK786462:FUK786464 FKO786462:FKO786464 FAS786462:FAS786464 EQW786462:EQW786464 EHA786462:EHA786464 DXE786462:DXE786464 DNI786462:DNI786464 DDM786462:DDM786464 CTQ786462:CTQ786464 CJU786462:CJU786464 BZY786462:BZY786464 BQC786462:BQC786464 BGG786462:BGG786464 AWK786462:AWK786464 AMO786462:AMO786464 ACS786462:ACS786464 SW786462:SW786464 JA786462:JA786464 E786462:E786464 WVM720926:WVM720928 WLQ720926:WLQ720928 WBU720926:WBU720928 VRY720926:VRY720928 VIC720926:VIC720928 UYG720926:UYG720928 UOK720926:UOK720928 UEO720926:UEO720928 TUS720926:TUS720928 TKW720926:TKW720928 TBA720926:TBA720928 SRE720926:SRE720928 SHI720926:SHI720928 RXM720926:RXM720928 RNQ720926:RNQ720928 RDU720926:RDU720928 QTY720926:QTY720928 QKC720926:QKC720928 QAG720926:QAG720928 PQK720926:PQK720928 PGO720926:PGO720928 OWS720926:OWS720928 OMW720926:OMW720928 ODA720926:ODA720928 NTE720926:NTE720928 NJI720926:NJI720928 MZM720926:MZM720928 MPQ720926:MPQ720928 MFU720926:MFU720928 LVY720926:LVY720928 LMC720926:LMC720928 LCG720926:LCG720928 KSK720926:KSK720928 KIO720926:KIO720928 JYS720926:JYS720928 JOW720926:JOW720928 JFA720926:JFA720928 IVE720926:IVE720928 ILI720926:ILI720928 IBM720926:IBM720928 HRQ720926:HRQ720928 HHU720926:HHU720928 GXY720926:GXY720928 GOC720926:GOC720928 GEG720926:GEG720928 FUK720926:FUK720928 FKO720926:FKO720928 FAS720926:FAS720928 EQW720926:EQW720928 EHA720926:EHA720928 DXE720926:DXE720928 DNI720926:DNI720928 DDM720926:DDM720928 CTQ720926:CTQ720928 CJU720926:CJU720928 BZY720926:BZY720928 BQC720926:BQC720928 BGG720926:BGG720928 AWK720926:AWK720928 AMO720926:AMO720928 ACS720926:ACS720928 SW720926:SW720928 JA720926:JA720928 E720926:E720928 WVM655390:WVM655392 WLQ655390:WLQ655392 WBU655390:WBU655392 VRY655390:VRY655392 VIC655390:VIC655392 UYG655390:UYG655392 UOK655390:UOK655392 UEO655390:UEO655392 TUS655390:TUS655392 TKW655390:TKW655392 TBA655390:TBA655392 SRE655390:SRE655392 SHI655390:SHI655392 RXM655390:RXM655392 RNQ655390:RNQ655392 RDU655390:RDU655392 QTY655390:QTY655392 QKC655390:QKC655392 QAG655390:QAG655392 PQK655390:PQK655392 PGO655390:PGO655392 OWS655390:OWS655392 OMW655390:OMW655392 ODA655390:ODA655392 NTE655390:NTE655392 NJI655390:NJI655392 MZM655390:MZM655392 MPQ655390:MPQ655392 MFU655390:MFU655392 LVY655390:LVY655392 LMC655390:LMC655392 LCG655390:LCG655392 KSK655390:KSK655392 KIO655390:KIO655392 JYS655390:JYS655392 JOW655390:JOW655392 JFA655390:JFA655392 IVE655390:IVE655392 ILI655390:ILI655392 IBM655390:IBM655392 HRQ655390:HRQ655392 HHU655390:HHU655392 GXY655390:GXY655392 GOC655390:GOC655392 GEG655390:GEG655392 FUK655390:FUK655392 FKO655390:FKO655392 FAS655390:FAS655392 EQW655390:EQW655392 EHA655390:EHA655392 DXE655390:DXE655392 DNI655390:DNI655392 DDM655390:DDM655392 CTQ655390:CTQ655392 CJU655390:CJU655392 BZY655390:BZY655392 BQC655390:BQC655392 BGG655390:BGG655392 AWK655390:AWK655392 AMO655390:AMO655392 ACS655390:ACS655392 SW655390:SW655392 JA655390:JA655392 E655390:E655392 WVM589854:WVM589856 WLQ589854:WLQ589856 WBU589854:WBU589856 VRY589854:VRY589856 VIC589854:VIC589856 UYG589854:UYG589856 UOK589854:UOK589856 UEO589854:UEO589856 TUS589854:TUS589856 TKW589854:TKW589856 TBA589854:TBA589856 SRE589854:SRE589856 SHI589854:SHI589856 RXM589854:RXM589856 RNQ589854:RNQ589856 RDU589854:RDU589856 QTY589854:QTY589856 QKC589854:QKC589856 QAG589854:QAG589856 PQK589854:PQK589856 PGO589854:PGO589856 OWS589854:OWS589856 OMW589854:OMW589856 ODA589854:ODA589856 NTE589854:NTE589856 NJI589854:NJI589856 MZM589854:MZM589856 MPQ589854:MPQ589856 MFU589854:MFU589856 LVY589854:LVY589856 LMC589854:LMC589856 LCG589854:LCG589856 KSK589854:KSK589856 KIO589854:KIO589856 JYS589854:JYS589856 JOW589854:JOW589856 JFA589854:JFA589856 IVE589854:IVE589856 ILI589854:ILI589856 IBM589854:IBM589856 HRQ589854:HRQ589856 HHU589854:HHU589856 GXY589854:GXY589856 GOC589854:GOC589856 GEG589854:GEG589856 FUK589854:FUK589856 FKO589854:FKO589856 FAS589854:FAS589856 EQW589854:EQW589856 EHA589854:EHA589856 DXE589854:DXE589856 DNI589854:DNI589856 DDM589854:DDM589856 CTQ589854:CTQ589856 CJU589854:CJU589856 BZY589854:BZY589856 BQC589854:BQC589856 BGG589854:BGG589856 AWK589854:AWK589856 AMO589854:AMO589856 ACS589854:ACS589856 SW589854:SW589856 JA589854:JA589856 E589854:E589856 WVM524318:WVM524320 WLQ524318:WLQ524320 WBU524318:WBU524320 VRY524318:VRY524320 VIC524318:VIC524320 UYG524318:UYG524320 UOK524318:UOK524320 UEO524318:UEO524320 TUS524318:TUS524320 TKW524318:TKW524320 TBA524318:TBA524320 SRE524318:SRE524320 SHI524318:SHI524320 RXM524318:RXM524320 RNQ524318:RNQ524320 RDU524318:RDU524320 QTY524318:QTY524320 QKC524318:QKC524320 QAG524318:QAG524320 PQK524318:PQK524320 PGO524318:PGO524320 OWS524318:OWS524320 OMW524318:OMW524320 ODA524318:ODA524320 NTE524318:NTE524320 NJI524318:NJI524320 MZM524318:MZM524320 MPQ524318:MPQ524320 MFU524318:MFU524320 LVY524318:LVY524320 LMC524318:LMC524320 LCG524318:LCG524320 KSK524318:KSK524320 KIO524318:KIO524320 JYS524318:JYS524320 JOW524318:JOW524320 JFA524318:JFA524320 IVE524318:IVE524320 ILI524318:ILI524320 IBM524318:IBM524320 HRQ524318:HRQ524320 HHU524318:HHU524320 GXY524318:GXY524320 GOC524318:GOC524320 GEG524318:GEG524320 FUK524318:FUK524320 FKO524318:FKO524320 FAS524318:FAS524320 EQW524318:EQW524320 EHA524318:EHA524320 DXE524318:DXE524320 DNI524318:DNI524320 DDM524318:DDM524320 CTQ524318:CTQ524320 CJU524318:CJU524320 BZY524318:BZY524320 BQC524318:BQC524320 BGG524318:BGG524320 AWK524318:AWK524320 AMO524318:AMO524320 ACS524318:ACS524320 SW524318:SW524320 JA524318:JA524320 E524318:E524320 WVM458782:WVM458784 WLQ458782:WLQ458784 WBU458782:WBU458784 VRY458782:VRY458784 VIC458782:VIC458784 UYG458782:UYG458784 UOK458782:UOK458784 UEO458782:UEO458784 TUS458782:TUS458784 TKW458782:TKW458784 TBA458782:TBA458784 SRE458782:SRE458784 SHI458782:SHI458784 RXM458782:RXM458784 RNQ458782:RNQ458784 RDU458782:RDU458784 QTY458782:QTY458784 QKC458782:QKC458784 QAG458782:QAG458784 PQK458782:PQK458784 PGO458782:PGO458784 OWS458782:OWS458784 OMW458782:OMW458784 ODA458782:ODA458784 NTE458782:NTE458784 NJI458782:NJI458784 MZM458782:MZM458784 MPQ458782:MPQ458784 MFU458782:MFU458784 LVY458782:LVY458784 LMC458782:LMC458784 LCG458782:LCG458784 KSK458782:KSK458784 KIO458782:KIO458784 JYS458782:JYS458784 JOW458782:JOW458784 JFA458782:JFA458784 IVE458782:IVE458784 ILI458782:ILI458784 IBM458782:IBM458784 HRQ458782:HRQ458784 HHU458782:HHU458784 GXY458782:GXY458784 GOC458782:GOC458784 GEG458782:GEG458784 FUK458782:FUK458784 FKO458782:FKO458784 FAS458782:FAS458784 EQW458782:EQW458784 EHA458782:EHA458784 DXE458782:DXE458784 DNI458782:DNI458784 DDM458782:DDM458784 CTQ458782:CTQ458784 CJU458782:CJU458784 BZY458782:BZY458784 BQC458782:BQC458784 BGG458782:BGG458784 AWK458782:AWK458784 AMO458782:AMO458784 ACS458782:ACS458784 SW458782:SW458784 JA458782:JA458784 E458782:E458784 WVM393246:WVM393248 WLQ393246:WLQ393248 WBU393246:WBU393248 VRY393246:VRY393248 VIC393246:VIC393248 UYG393246:UYG393248 UOK393246:UOK393248 UEO393246:UEO393248 TUS393246:TUS393248 TKW393246:TKW393248 TBA393246:TBA393248 SRE393246:SRE393248 SHI393246:SHI393248 RXM393246:RXM393248 RNQ393246:RNQ393248 RDU393246:RDU393248 QTY393246:QTY393248 QKC393246:QKC393248 QAG393246:QAG393248 PQK393246:PQK393248 PGO393246:PGO393248 OWS393246:OWS393248 OMW393246:OMW393248 ODA393246:ODA393248 NTE393246:NTE393248 NJI393246:NJI393248 MZM393246:MZM393248 MPQ393246:MPQ393248 MFU393246:MFU393248 LVY393246:LVY393248 LMC393246:LMC393248 LCG393246:LCG393248 KSK393246:KSK393248 KIO393246:KIO393248 JYS393246:JYS393248 JOW393246:JOW393248 JFA393246:JFA393248 IVE393246:IVE393248 ILI393246:ILI393248 IBM393246:IBM393248 HRQ393246:HRQ393248 HHU393246:HHU393248 GXY393246:GXY393248 GOC393246:GOC393248 GEG393246:GEG393248 FUK393246:FUK393248 FKO393246:FKO393248 FAS393246:FAS393248 EQW393246:EQW393248 EHA393246:EHA393248 DXE393246:DXE393248 DNI393246:DNI393248 DDM393246:DDM393248 CTQ393246:CTQ393248 CJU393246:CJU393248 BZY393246:BZY393248 BQC393246:BQC393248 BGG393246:BGG393248 AWK393246:AWK393248 AMO393246:AMO393248 ACS393246:ACS393248 SW393246:SW393248 JA393246:JA393248 E393246:E393248 WVM327710:WVM327712 WLQ327710:WLQ327712 WBU327710:WBU327712 VRY327710:VRY327712 VIC327710:VIC327712 UYG327710:UYG327712 UOK327710:UOK327712 UEO327710:UEO327712 TUS327710:TUS327712 TKW327710:TKW327712 TBA327710:TBA327712 SRE327710:SRE327712 SHI327710:SHI327712 RXM327710:RXM327712 RNQ327710:RNQ327712 RDU327710:RDU327712 QTY327710:QTY327712 QKC327710:QKC327712 QAG327710:QAG327712 PQK327710:PQK327712 PGO327710:PGO327712 OWS327710:OWS327712 OMW327710:OMW327712 ODA327710:ODA327712 NTE327710:NTE327712 NJI327710:NJI327712 MZM327710:MZM327712 MPQ327710:MPQ327712 MFU327710:MFU327712 LVY327710:LVY327712 LMC327710:LMC327712 LCG327710:LCG327712 KSK327710:KSK327712 KIO327710:KIO327712 JYS327710:JYS327712 JOW327710:JOW327712 JFA327710:JFA327712 IVE327710:IVE327712 ILI327710:ILI327712 IBM327710:IBM327712 HRQ327710:HRQ327712 HHU327710:HHU327712 GXY327710:GXY327712 GOC327710:GOC327712 GEG327710:GEG327712 FUK327710:FUK327712 FKO327710:FKO327712 FAS327710:FAS327712 EQW327710:EQW327712 EHA327710:EHA327712 DXE327710:DXE327712 DNI327710:DNI327712 DDM327710:DDM327712 CTQ327710:CTQ327712 CJU327710:CJU327712 BZY327710:BZY327712 BQC327710:BQC327712 BGG327710:BGG327712 AWK327710:AWK327712 AMO327710:AMO327712 ACS327710:ACS327712 SW327710:SW327712 JA327710:JA327712 E327710:E327712 WVM262174:WVM262176 WLQ262174:WLQ262176 WBU262174:WBU262176 VRY262174:VRY262176 VIC262174:VIC262176 UYG262174:UYG262176 UOK262174:UOK262176 UEO262174:UEO262176 TUS262174:TUS262176 TKW262174:TKW262176 TBA262174:TBA262176 SRE262174:SRE262176 SHI262174:SHI262176 RXM262174:RXM262176 RNQ262174:RNQ262176 RDU262174:RDU262176 QTY262174:QTY262176 QKC262174:QKC262176 QAG262174:QAG262176 PQK262174:PQK262176 PGO262174:PGO262176 OWS262174:OWS262176 OMW262174:OMW262176 ODA262174:ODA262176 NTE262174:NTE262176 NJI262174:NJI262176 MZM262174:MZM262176 MPQ262174:MPQ262176 MFU262174:MFU262176 LVY262174:LVY262176 LMC262174:LMC262176 LCG262174:LCG262176 KSK262174:KSK262176 KIO262174:KIO262176 JYS262174:JYS262176 JOW262174:JOW262176 JFA262174:JFA262176 IVE262174:IVE262176 ILI262174:ILI262176 IBM262174:IBM262176 HRQ262174:HRQ262176 HHU262174:HHU262176 GXY262174:GXY262176 GOC262174:GOC262176 GEG262174:GEG262176 FUK262174:FUK262176 FKO262174:FKO262176 FAS262174:FAS262176 EQW262174:EQW262176 EHA262174:EHA262176 DXE262174:DXE262176 DNI262174:DNI262176 DDM262174:DDM262176 CTQ262174:CTQ262176 CJU262174:CJU262176 BZY262174:BZY262176 BQC262174:BQC262176 BGG262174:BGG262176 AWK262174:AWK262176 AMO262174:AMO262176 ACS262174:ACS262176 SW262174:SW262176 JA262174:JA262176 E262174:E262176 WVM196638:WVM196640 WLQ196638:WLQ196640 WBU196638:WBU196640 VRY196638:VRY196640 VIC196638:VIC196640 UYG196638:UYG196640 UOK196638:UOK196640 UEO196638:UEO196640 TUS196638:TUS196640 TKW196638:TKW196640 TBA196638:TBA196640 SRE196638:SRE196640 SHI196638:SHI196640 RXM196638:RXM196640 RNQ196638:RNQ196640 RDU196638:RDU196640 QTY196638:QTY196640 QKC196638:QKC196640 QAG196638:QAG196640 PQK196638:PQK196640 PGO196638:PGO196640 OWS196638:OWS196640 OMW196638:OMW196640 ODA196638:ODA196640 NTE196638:NTE196640 NJI196638:NJI196640 MZM196638:MZM196640 MPQ196638:MPQ196640 MFU196638:MFU196640 LVY196638:LVY196640 LMC196638:LMC196640 LCG196638:LCG196640 KSK196638:KSK196640 KIO196638:KIO196640 JYS196638:JYS196640 JOW196638:JOW196640 JFA196638:JFA196640 IVE196638:IVE196640 ILI196638:ILI196640 IBM196638:IBM196640 HRQ196638:HRQ196640 HHU196638:HHU196640 GXY196638:GXY196640 GOC196638:GOC196640 GEG196638:GEG196640 FUK196638:FUK196640 FKO196638:FKO196640 FAS196638:FAS196640 EQW196638:EQW196640 EHA196638:EHA196640 DXE196638:DXE196640 DNI196638:DNI196640 DDM196638:DDM196640 CTQ196638:CTQ196640 CJU196638:CJU196640 BZY196638:BZY196640 BQC196638:BQC196640 BGG196638:BGG196640 AWK196638:AWK196640 AMO196638:AMO196640 ACS196638:ACS196640 SW196638:SW196640 JA196638:JA196640 E196638:E196640 WVM131102:WVM131104 WLQ131102:WLQ131104 WBU131102:WBU131104 VRY131102:VRY131104 VIC131102:VIC131104 UYG131102:UYG131104 UOK131102:UOK131104 UEO131102:UEO131104 TUS131102:TUS131104 TKW131102:TKW131104 TBA131102:TBA131104 SRE131102:SRE131104 SHI131102:SHI131104 RXM131102:RXM131104 RNQ131102:RNQ131104 RDU131102:RDU131104 QTY131102:QTY131104 QKC131102:QKC131104 QAG131102:QAG131104 PQK131102:PQK131104 PGO131102:PGO131104 OWS131102:OWS131104 OMW131102:OMW131104 ODA131102:ODA131104 NTE131102:NTE131104 NJI131102:NJI131104 MZM131102:MZM131104 MPQ131102:MPQ131104 MFU131102:MFU131104 LVY131102:LVY131104 LMC131102:LMC131104 LCG131102:LCG131104 KSK131102:KSK131104 KIO131102:KIO131104 JYS131102:JYS131104 JOW131102:JOW131104 JFA131102:JFA131104 IVE131102:IVE131104 ILI131102:ILI131104 IBM131102:IBM131104 HRQ131102:HRQ131104 HHU131102:HHU131104 GXY131102:GXY131104 GOC131102:GOC131104 GEG131102:GEG131104 FUK131102:FUK131104 FKO131102:FKO131104 FAS131102:FAS131104 EQW131102:EQW131104 EHA131102:EHA131104 DXE131102:DXE131104 DNI131102:DNI131104 DDM131102:DDM131104 CTQ131102:CTQ131104 CJU131102:CJU131104 BZY131102:BZY131104 BQC131102:BQC131104 BGG131102:BGG131104 AWK131102:AWK131104 AMO131102:AMO131104 ACS131102:ACS131104 SW131102:SW131104 JA131102:JA131104 E131102:E131104 WVM65566:WVM65568 WLQ65566:WLQ65568 WBU65566:WBU65568 VRY65566:VRY65568 VIC65566:VIC65568 UYG65566:UYG65568 UOK65566:UOK65568 UEO65566:UEO65568 TUS65566:TUS65568 TKW65566:TKW65568 TBA65566:TBA65568 SRE65566:SRE65568 SHI65566:SHI65568 RXM65566:RXM65568 RNQ65566:RNQ65568 RDU65566:RDU65568 QTY65566:QTY65568 QKC65566:QKC65568 QAG65566:QAG65568 PQK65566:PQK65568 PGO65566:PGO65568 OWS65566:OWS65568 OMW65566:OMW65568 ODA65566:ODA65568 NTE65566:NTE65568 NJI65566:NJI65568 MZM65566:MZM65568 MPQ65566:MPQ65568 MFU65566:MFU65568 LVY65566:LVY65568 LMC65566:LMC65568 LCG65566:LCG65568 KSK65566:KSK65568 KIO65566:KIO65568 JYS65566:JYS65568 JOW65566:JOW65568 JFA65566:JFA65568 IVE65566:IVE65568 ILI65566:ILI65568 IBM65566:IBM65568 HRQ65566:HRQ65568 HHU65566:HHU65568 GXY65566:GXY65568 GOC65566:GOC65568 GEG65566:GEG65568 FUK65566:FUK65568 FKO65566:FKO65568 FAS65566:FAS65568 EQW65566:EQW65568 EHA65566:EHA65568 DXE65566:DXE65568 DNI65566:DNI65568 DDM65566:DDM65568 CTQ65566:CTQ65568 CJU65566:CJU65568 BZY65566:BZY65568 BQC65566:BQC65568 BGG65566:BGG65568 AWK65566:AWK65568 AMO65566:AMO65568 ACS65566:ACS65568 SW65566:SW65568 JA65566:JA65568 E65566:E65568 WVM30:WVM32 WLQ30:WLQ32 WBU30:WBU32 VRY30:VRY32 VIC30:VIC32 UYG30:UYG32 UOK30:UOK32 UEO30:UEO32 TUS30:TUS32 TKW30:TKW32 TBA30:TBA32 SRE30:SRE32 SHI30:SHI32 RXM30:RXM32 RNQ30:RNQ32 RDU30:RDU32 QTY30:QTY32 QKC30:QKC32 QAG30:QAG32 PQK30:PQK32 PGO30:PGO32 OWS30:OWS32 OMW30:OMW32 ODA30:ODA32 NTE30:NTE32 NJI30:NJI32 MZM30:MZM32 MPQ30:MPQ32 MFU30:MFU32 LVY30:LVY32 LMC30:LMC32 LCG30:LCG32 KSK30:KSK32 KIO30:KIO32 JYS30:JYS32 JOW30:JOW32 JFA30:JFA32 IVE30:IVE32 ILI30:ILI32 IBM30:IBM32 HRQ30:HRQ32 HHU30:HHU32 GXY30:GXY32 GOC30:GOC32 GEG30:GEG32 FUK30:FUK32 FKO30:FKO32 FAS30:FAS32 EQW30:EQW32 EHA30:EHA32 DXE30:DXE32 DNI30:DNI32 DDM30:DDM32 CTQ30:CTQ32 CJU30:CJU32 BZY30:BZY32 BQC30:BQC32 BGG30:BGG32 AWK30:AWK32 AMO30:AMO32 ACS30:ACS32 SW30:SW32 JA30:JA32 E30:E32 WVM983075:WVM983076 WLQ983075:WLQ983076 WBU983075:WBU983076 VRY983075:VRY983076 VIC983075:VIC983076 UYG983075:UYG983076 UOK983075:UOK983076 UEO983075:UEO983076 TUS983075:TUS983076 TKW983075:TKW983076 TBA983075:TBA983076 SRE983075:SRE983076 SHI983075:SHI983076 RXM983075:RXM983076 RNQ983075:RNQ983076 RDU983075:RDU983076 QTY983075:QTY983076 QKC983075:QKC983076 QAG983075:QAG983076 PQK983075:PQK983076 PGO983075:PGO983076 OWS983075:OWS983076 OMW983075:OMW983076 ODA983075:ODA983076 NTE983075:NTE983076 NJI983075:NJI983076 MZM983075:MZM983076 MPQ983075:MPQ983076 MFU983075:MFU983076 LVY983075:LVY983076 LMC983075:LMC983076 LCG983075:LCG983076 KSK983075:KSK983076 KIO983075:KIO983076 JYS983075:JYS983076 JOW983075:JOW983076 JFA983075:JFA983076 IVE983075:IVE983076 ILI983075:ILI983076 IBM983075:IBM983076 HRQ983075:HRQ983076 HHU983075:HHU983076 GXY983075:GXY983076 GOC983075:GOC983076 GEG983075:GEG983076 FUK983075:FUK983076 FKO983075:FKO983076 FAS983075:FAS983076 EQW983075:EQW983076 EHA983075:EHA983076 DXE983075:DXE983076 DNI983075:DNI983076 DDM983075:DDM983076 CTQ983075:CTQ983076 CJU983075:CJU983076 BZY983075:BZY983076 BQC983075:BQC983076 BGG983075:BGG983076 AWK983075:AWK983076 AMO983075:AMO983076 ACS983075:ACS983076 SW983075:SW983076 JA983075:JA983076 E983075:E983076 WVM917539:WVM917540 WLQ917539:WLQ917540 WBU917539:WBU917540 VRY917539:VRY917540 VIC917539:VIC917540 UYG917539:UYG917540 UOK917539:UOK917540 UEO917539:UEO917540 TUS917539:TUS917540 TKW917539:TKW917540 TBA917539:TBA917540 SRE917539:SRE917540 SHI917539:SHI917540 RXM917539:RXM917540 RNQ917539:RNQ917540 RDU917539:RDU917540 QTY917539:QTY917540 QKC917539:QKC917540 QAG917539:QAG917540 PQK917539:PQK917540 PGO917539:PGO917540 OWS917539:OWS917540 OMW917539:OMW917540 ODA917539:ODA917540 NTE917539:NTE917540 NJI917539:NJI917540 MZM917539:MZM917540 MPQ917539:MPQ917540 MFU917539:MFU917540 LVY917539:LVY917540 LMC917539:LMC917540 LCG917539:LCG917540 KSK917539:KSK917540 KIO917539:KIO917540 JYS917539:JYS917540 JOW917539:JOW917540 JFA917539:JFA917540 IVE917539:IVE917540 ILI917539:ILI917540 IBM917539:IBM917540 HRQ917539:HRQ917540 HHU917539:HHU917540 GXY917539:GXY917540 GOC917539:GOC917540 GEG917539:GEG917540 FUK917539:FUK917540 FKO917539:FKO917540 FAS917539:FAS917540 EQW917539:EQW917540 EHA917539:EHA917540 DXE917539:DXE917540 DNI917539:DNI917540 DDM917539:DDM917540 CTQ917539:CTQ917540 CJU917539:CJU917540 BZY917539:BZY917540 BQC917539:BQC917540 BGG917539:BGG917540 AWK917539:AWK917540 AMO917539:AMO917540 ACS917539:ACS917540 SW917539:SW917540 JA917539:JA917540 E917539:E917540 WVM852003:WVM852004 WLQ852003:WLQ852004 WBU852003:WBU852004 VRY852003:VRY852004 VIC852003:VIC852004 UYG852003:UYG852004 UOK852003:UOK852004 UEO852003:UEO852004 TUS852003:TUS852004 TKW852003:TKW852004 TBA852003:TBA852004 SRE852003:SRE852004 SHI852003:SHI852004 RXM852003:RXM852004 RNQ852003:RNQ852004 RDU852003:RDU852004 QTY852003:QTY852004 QKC852003:QKC852004 QAG852003:QAG852004 PQK852003:PQK852004 PGO852003:PGO852004 OWS852003:OWS852004 OMW852003:OMW852004 ODA852003:ODA852004 NTE852003:NTE852004 NJI852003:NJI852004 MZM852003:MZM852004 MPQ852003:MPQ852004 MFU852003:MFU852004 LVY852003:LVY852004 LMC852003:LMC852004 LCG852003:LCG852004 KSK852003:KSK852004 KIO852003:KIO852004 JYS852003:JYS852004 JOW852003:JOW852004 JFA852003:JFA852004 IVE852003:IVE852004 ILI852003:ILI852004 IBM852003:IBM852004 HRQ852003:HRQ852004 HHU852003:HHU852004 GXY852003:GXY852004 GOC852003:GOC852004 GEG852003:GEG852004 FUK852003:FUK852004 FKO852003:FKO852004 FAS852003:FAS852004 EQW852003:EQW852004 EHA852003:EHA852004 DXE852003:DXE852004 DNI852003:DNI852004 DDM852003:DDM852004 CTQ852003:CTQ852004 CJU852003:CJU852004 BZY852003:BZY852004 BQC852003:BQC852004 BGG852003:BGG852004 AWK852003:AWK852004 AMO852003:AMO852004 ACS852003:ACS852004 SW852003:SW852004 JA852003:JA852004 E852003:E852004 WVM786467:WVM786468 WLQ786467:WLQ786468 WBU786467:WBU786468 VRY786467:VRY786468 VIC786467:VIC786468 UYG786467:UYG786468 UOK786467:UOK786468 UEO786467:UEO786468 TUS786467:TUS786468 TKW786467:TKW786468 TBA786467:TBA786468 SRE786467:SRE786468 SHI786467:SHI786468 RXM786467:RXM786468 RNQ786467:RNQ786468 RDU786467:RDU786468 QTY786467:QTY786468 QKC786467:QKC786468 QAG786467:QAG786468 PQK786467:PQK786468 PGO786467:PGO786468 OWS786467:OWS786468 OMW786467:OMW786468 ODA786467:ODA786468 NTE786467:NTE786468 NJI786467:NJI786468 MZM786467:MZM786468 MPQ786467:MPQ786468 MFU786467:MFU786468 LVY786467:LVY786468 LMC786467:LMC786468 LCG786467:LCG786468 KSK786467:KSK786468 KIO786467:KIO786468 JYS786467:JYS786468 JOW786467:JOW786468 JFA786467:JFA786468 IVE786467:IVE786468 ILI786467:ILI786468 IBM786467:IBM786468 HRQ786467:HRQ786468 HHU786467:HHU786468 GXY786467:GXY786468 GOC786467:GOC786468 GEG786467:GEG786468 FUK786467:FUK786468 FKO786467:FKO786468 FAS786467:FAS786468 EQW786467:EQW786468 EHA786467:EHA786468 DXE786467:DXE786468 DNI786467:DNI786468 DDM786467:DDM786468 CTQ786467:CTQ786468 CJU786467:CJU786468 BZY786467:BZY786468 BQC786467:BQC786468 BGG786467:BGG786468 AWK786467:AWK786468 AMO786467:AMO786468 ACS786467:ACS786468 SW786467:SW786468 JA786467:JA786468 E786467:E786468 WVM720931:WVM720932 WLQ720931:WLQ720932 WBU720931:WBU720932 VRY720931:VRY720932 VIC720931:VIC720932 UYG720931:UYG720932 UOK720931:UOK720932 UEO720931:UEO720932 TUS720931:TUS720932 TKW720931:TKW720932 TBA720931:TBA720932 SRE720931:SRE720932 SHI720931:SHI720932 RXM720931:RXM720932 RNQ720931:RNQ720932 RDU720931:RDU720932 QTY720931:QTY720932 QKC720931:QKC720932 QAG720931:QAG720932 PQK720931:PQK720932 PGO720931:PGO720932 OWS720931:OWS720932 OMW720931:OMW720932 ODA720931:ODA720932 NTE720931:NTE720932 NJI720931:NJI720932 MZM720931:MZM720932 MPQ720931:MPQ720932 MFU720931:MFU720932 LVY720931:LVY720932 LMC720931:LMC720932 LCG720931:LCG720932 KSK720931:KSK720932 KIO720931:KIO720932 JYS720931:JYS720932 JOW720931:JOW720932 JFA720931:JFA720932 IVE720931:IVE720932 ILI720931:ILI720932 IBM720931:IBM720932 HRQ720931:HRQ720932 HHU720931:HHU720932 GXY720931:GXY720932 GOC720931:GOC720932 GEG720931:GEG720932 FUK720931:FUK720932 FKO720931:FKO720932 FAS720931:FAS720932 EQW720931:EQW720932 EHA720931:EHA720932 DXE720931:DXE720932 DNI720931:DNI720932 DDM720931:DDM720932 CTQ720931:CTQ720932 CJU720931:CJU720932 BZY720931:BZY720932 BQC720931:BQC720932 BGG720931:BGG720932 AWK720931:AWK720932 AMO720931:AMO720932 ACS720931:ACS720932 SW720931:SW720932 JA720931:JA720932 E720931:E720932 WVM655395:WVM655396 WLQ655395:WLQ655396 WBU655395:WBU655396 VRY655395:VRY655396 VIC655395:VIC655396 UYG655395:UYG655396 UOK655395:UOK655396 UEO655395:UEO655396 TUS655395:TUS655396 TKW655395:TKW655396 TBA655395:TBA655396 SRE655395:SRE655396 SHI655395:SHI655396 RXM655395:RXM655396 RNQ655395:RNQ655396 RDU655395:RDU655396 QTY655395:QTY655396 QKC655395:QKC655396 QAG655395:QAG655396 PQK655395:PQK655396 PGO655395:PGO655396 OWS655395:OWS655396 OMW655395:OMW655396 ODA655395:ODA655396 NTE655395:NTE655396 NJI655395:NJI655396 MZM655395:MZM655396 MPQ655395:MPQ655396 MFU655395:MFU655396 LVY655395:LVY655396 LMC655395:LMC655396 LCG655395:LCG655396 KSK655395:KSK655396 KIO655395:KIO655396 JYS655395:JYS655396 JOW655395:JOW655396 JFA655395:JFA655396 IVE655395:IVE655396 ILI655395:ILI655396 IBM655395:IBM655396 HRQ655395:HRQ655396 HHU655395:HHU655396 GXY655395:GXY655396 GOC655395:GOC655396 GEG655395:GEG655396 FUK655395:FUK655396 FKO655395:FKO655396 FAS655395:FAS655396 EQW655395:EQW655396 EHA655395:EHA655396 DXE655395:DXE655396 DNI655395:DNI655396 DDM655395:DDM655396 CTQ655395:CTQ655396 CJU655395:CJU655396 BZY655395:BZY655396 BQC655395:BQC655396 BGG655395:BGG655396 AWK655395:AWK655396 AMO655395:AMO655396 ACS655395:ACS655396 SW655395:SW655396 JA655395:JA655396 E655395:E655396 WVM589859:WVM589860 WLQ589859:WLQ589860 WBU589859:WBU589860 VRY589859:VRY589860 VIC589859:VIC589860 UYG589859:UYG589860 UOK589859:UOK589860 UEO589859:UEO589860 TUS589859:TUS589860 TKW589859:TKW589860 TBA589859:TBA589860 SRE589859:SRE589860 SHI589859:SHI589860 RXM589859:RXM589860 RNQ589859:RNQ589860 RDU589859:RDU589860 QTY589859:QTY589860 QKC589859:QKC589860 QAG589859:QAG589860 PQK589859:PQK589860 PGO589859:PGO589860 OWS589859:OWS589860 OMW589859:OMW589860 ODA589859:ODA589860 NTE589859:NTE589860 NJI589859:NJI589860 MZM589859:MZM589860 MPQ589859:MPQ589860 MFU589859:MFU589860 LVY589859:LVY589860 LMC589859:LMC589860 LCG589859:LCG589860 KSK589859:KSK589860 KIO589859:KIO589860 JYS589859:JYS589860 JOW589859:JOW589860 JFA589859:JFA589860 IVE589859:IVE589860 ILI589859:ILI589860 IBM589859:IBM589860 HRQ589859:HRQ589860 HHU589859:HHU589860 GXY589859:GXY589860 GOC589859:GOC589860 GEG589859:GEG589860 FUK589859:FUK589860 FKO589859:FKO589860 FAS589859:FAS589860 EQW589859:EQW589860 EHA589859:EHA589860 DXE589859:DXE589860 DNI589859:DNI589860 DDM589859:DDM589860 CTQ589859:CTQ589860 CJU589859:CJU589860 BZY589859:BZY589860 BQC589859:BQC589860 BGG589859:BGG589860 AWK589859:AWK589860 AMO589859:AMO589860 ACS589859:ACS589860 SW589859:SW589860 JA589859:JA589860 E589859:E589860 WVM524323:WVM524324 WLQ524323:WLQ524324 WBU524323:WBU524324 VRY524323:VRY524324 VIC524323:VIC524324 UYG524323:UYG524324 UOK524323:UOK524324 UEO524323:UEO524324 TUS524323:TUS524324 TKW524323:TKW524324 TBA524323:TBA524324 SRE524323:SRE524324 SHI524323:SHI524324 RXM524323:RXM524324 RNQ524323:RNQ524324 RDU524323:RDU524324 QTY524323:QTY524324 QKC524323:QKC524324 QAG524323:QAG524324 PQK524323:PQK524324 PGO524323:PGO524324 OWS524323:OWS524324 OMW524323:OMW524324 ODA524323:ODA524324 NTE524323:NTE524324 NJI524323:NJI524324 MZM524323:MZM524324 MPQ524323:MPQ524324 MFU524323:MFU524324 LVY524323:LVY524324 LMC524323:LMC524324 LCG524323:LCG524324 KSK524323:KSK524324 KIO524323:KIO524324 JYS524323:JYS524324 JOW524323:JOW524324 JFA524323:JFA524324 IVE524323:IVE524324 ILI524323:ILI524324 IBM524323:IBM524324 HRQ524323:HRQ524324 HHU524323:HHU524324 GXY524323:GXY524324 GOC524323:GOC524324 GEG524323:GEG524324 FUK524323:FUK524324 FKO524323:FKO524324 FAS524323:FAS524324 EQW524323:EQW524324 EHA524323:EHA524324 DXE524323:DXE524324 DNI524323:DNI524324 DDM524323:DDM524324 CTQ524323:CTQ524324 CJU524323:CJU524324 BZY524323:BZY524324 BQC524323:BQC524324 BGG524323:BGG524324 AWK524323:AWK524324 AMO524323:AMO524324 ACS524323:ACS524324 SW524323:SW524324 JA524323:JA524324 E524323:E524324 WVM458787:WVM458788 WLQ458787:WLQ458788 WBU458787:WBU458788 VRY458787:VRY458788 VIC458787:VIC458788 UYG458787:UYG458788 UOK458787:UOK458788 UEO458787:UEO458788 TUS458787:TUS458788 TKW458787:TKW458788 TBA458787:TBA458788 SRE458787:SRE458788 SHI458787:SHI458788 RXM458787:RXM458788 RNQ458787:RNQ458788 RDU458787:RDU458788 QTY458787:QTY458788 QKC458787:QKC458788 QAG458787:QAG458788 PQK458787:PQK458788 PGO458787:PGO458788 OWS458787:OWS458788 OMW458787:OMW458788 ODA458787:ODA458788 NTE458787:NTE458788 NJI458787:NJI458788 MZM458787:MZM458788 MPQ458787:MPQ458788 MFU458787:MFU458788 LVY458787:LVY458788 LMC458787:LMC458788 LCG458787:LCG458788 KSK458787:KSK458788 KIO458787:KIO458788 JYS458787:JYS458788 JOW458787:JOW458788 JFA458787:JFA458788 IVE458787:IVE458788 ILI458787:ILI458788 IBM458787:IBM458788 HRQ458787:HRQ458788 HHU458787:HHU458788 GXY458787:GXY458788 GOC458787:GOC458788 GEG458787:GEG458788 FUK458787:FUK458788 FKO458787:FKO458788 FAS458787:FAS458788 EQW458787:EQW458788 EHA458787:EHA458788 DXE458787:DXE458788 DNI458787:DNI458788 DDM458787:DDM458788 CTQ458787:CTQ458788 CJU458787:CJU458788 BZY458787:BZY458788 BQC458787:BQC458788 BGG458787:BGG458788 AWK458787:AWK458788 AMO458787:AMO458788 ACS458787:ACS458788 SW458787:SW458788 JA458787:JA458788 E458787:E458788 WVM393251:WVM393252 WLQ393251:WLQ393252 WBU393251:WBU393252 VRY393251:VRY393252 VIC393251:VIC393252 UYG393251:UYG393252 UOK393251:UOK393252 UEO393251:UEO393252 TUS393251:TUS393252 TKW393251:TKW393252 TBA393251:TBA393252 SRE393251:SRE393252 SHI393251:SHI393252 RXM393251:RXM393252 RNQ393251:RNQ393252 RDU393251:RDU393252 QTY393251:QTY393252 QKC393251:QKC393252 QAG393251:QAG393252 PQK393251:PQK393252 PGO393251:PGO393252 OWS393251:OWS393252 OMW393251:OMW393252 ODA393251:ODA393252 NTE393251:NTE393252 NJI393251:NJI393252 MZM393251:MZM393252 MPQ393251:MPQ393252 MFU393251:MFU393252 LVY393251:LVY393252 LMC393251:LMC393252 LCG393251:LCG393252 KSK393251:KSK393252 KIO393251:KIO393252 JYS393251:JYS393252 JOW393251:JOW393252 JFA393251:JFA393252 IVE393251:IVE393252 ILI393251:ILI393252 IBM393251:IBM393252 HRQ393251:HRQ393252 HHU393251:HHU393252 GXY393251:GXY393252 GOC393251:GOC393252 GEG393251:GEG393252 FUK393251:FUK393252 FKO393251:FKO393252 FAS393251:FAS393252 EQW393251:EQW393252 EHA393251:EHA393252 DXE393251:DXE393252 DNI393251:DNI393252 DDM393251:DDM393252 CTQ393251:CTQ393252 CJU393251:CJU393252 BZY393251:BZY393252 BQC393251:BQC393252 BGG393251:BGG393252 AWK393251:AWK393252 AMO393251:AMO393252 ACS393251:ACS393252 SW393251:SW393252 JA393251:JA393252 E393251:E393252 WVM327715:WVM327716 WLQ327715:WLQ327716 WBU327715:WBU327716 VRY327715:VRY327716 VIC327715:VIC327716 UYG327715:UYG327716 UOK327715:UOK327716 UEO327715:UEO327716 TUS327715:TUS327716 TKW327715:TKW327716 TBA327715:TBA327716 SRE327715:SRE327716 SHI327715:SHI327716 RXM327715:RXM327716 RNQ327715:RNQ327716 RDU327715:RDU327716 QTY327715:QTY327716 QKC327715:QKC327716 QAG327715:QAG327716 PQK327715:PQK327716 PGO327715:PGO327716 OWS327715:OWS327716 OMW327715:OMW327716 ODA327715:ODA327716 NTE327715:NTE327716 NJI327715:NJI327716 MZM327715:MZM327716 MPQ327715:MPQ327716 MFU327715:MFU327716 LVY327715:LVY327716 LMC327715:LMC327716 LCG327715:LCG327716 KSK327715:KSK327716 KIO327715:KIO327716 JYS327715:JYS327716 JOW327715:JOW327716 JFA327715:JFA327716 IVE327715:IVE327716 ILI327715:ILI327716 IBM327715:IBM327716 HRQ327715:HRQ327716 HHU327715:HHU327716 GXY327715:GXY327716 GOC327715:GOC327716 GEG327715:GEG327716 FUK327715:FUK327716 FKO327715:FKO327716 FAS327715:FAS327716 EQW327715:EQW327716 EHA327715:EHA327716 DXE327715:DXE327716 DNI327715:DNI327716 DDM327715:DDM327716 CTQ327715:CTQ327716 CJU327715:CJU327716 BZY327715:BZY327716 BQC327715:BQC327716 BGG327715:BGG327716 AWK327715:AWK327716 AMO327715:AMO327716 ACS327715:ACS327716 SW327715:SW327716 JA327715:JA327716 E327715:E327716 WVM262179:WVM262180 WLQ262179:WLQ262180 WBU262179:WBU262180 VRY262179:VRY262180 VIC262179:VIC262180 UYG262179:UYG262180 UOK262179:UOK262180 UEO262179:UEO262180 TUS262179:TUS262180 TKW262179:TKW262180 TBA262179:TBA262180 SRE262179:SRE262180 SHI262179:SHI262180 RXM262179:RXM262180 RNQ262179:RNQ262180 RDU262179:RDU262180 QTY262179:QTY262180 QKC262179:QKC262180 QAG262179:QAG262180 PQK262179:PQK262180 PGO262179:PGO262180 OWS262179:OWS262180 OMW262179:OMW262180 ODA262179:ODA262180 NTE262179:NTE262180 NJI262179:NJI262180 MZM262179:MZM262180 MPQ262179:MPQ262180 MFU262179:MFU262180 LVY262179:LVY262180 LMC262179:LMC262180 LCG262179:LCG262180 KSK262179:KSK262180 KIO262179:KIO262180 JYS262179:JYS262180 JOW262179:JOW262180 JFA262179:JFA262180 IVE262179:IVE262180 ILI262179:ILI262180 IBM262179:IBM262180 HRQ262179:HRQ262180 HHU262179:HHU262180 GXY262179:GXY262180 GOC262179:GOC262180 GEG262179:GEG262180 FUK262179:FUK262180 FKO262179:FKO262180 FAS262179:FAS262180 EQW262179:EQW262180 EHA262179:EHA262180 DXE262179:DXE262180 DNI262179:DNI262180 DDM262179:DDM262180 CTQ262179:CTQ262180 CJU262179:CJU262180 BZY262179:BZY262180 BQC262179:BQC262180 BGG262179:BGG262180 AWK262179:AWK262180 AMO262179:AMO262180 ACS262179:ACS262180 SW262179:SW262180 JA262179:JA262180 E262179:E262180 WVM196643:WVM196644 WLQ196643:WLQ196644 WBU196643:WBU196644 VRY196643:VRY196644 VIC196643:VIC196644 UYG196643:UYG196644 UOK196643:UOK196644 UEO196643:UEO196644 TUS196643:TUS196644 TKW196643:TKW196644 TBA196643:TBA196644 SRE196643:SRE196644 SHI196643:SHI196644 RXM196643:RXM196644 RNQ196643:RNQ196644 RDU196643:RDU196644 QTY196643:QTY196644 QKC196643:QKC196644 QAG196643:QAG196644 PQK196643:PQK196644 PGO196643:PGO196644 OWS196643:OWS196644 OMW196643:OMW196644 ODA196643:ODA196644 NTE196643:NTE196644 NJI196643:NJI196644 MZM196643:MZM196644 MPQ196643:MPQ196644 MFU196643:MFU196644 LVY196643:LVY196644 LMC196643:LMC196644 LCG196643:LCG196644 KSK196643:KSK196644 KIO196643:KIO196644 JYS196643:JYS196644 JOW196643:JOW196644 JFA196643:JFA196644 IVE196643:IVE196644 ILI196643:ILI196644 IBM196643:IBM196644 HRQ196643:HRQ196644 HHU196643:HHU196644 GXY196643:GXY196644 GOC196643:GOC196644 GEG196643:GEG196644 FUK196643:FUK196644 FKO196643:FKO196644 FAS196643:FAS196644 EQW196643:EQW196644 EHA196643:EHA196644 DXE196643:DXE196644 DNI196643:DNI196644 DDM196643:DDM196644 CTQ196643:CTQ196644 CJU196643:CJU196644 BZY196643:BZY196644 BQC196643:BQC196644 BGG196643:BGG196644 AWK196643:AWK196644 AMO196643:AMO196644 ACS196643:ACS196644 SW196643:SW196644 JA196643:JA196644 E196643:E196644 WVM131107:WVM131108 WLQ131107:WLQ131108 WBU131107:WBU131108 VRY131107:VRY131108 VIC131107:VIC131108 UYG131107:UYG131108 UOK131107:UOK131108 UEO131107:UEO131108 TUS131107:TUS131108 TKW131107:TKW131108 TBA131107:TBA131108 SRE131107:SRE131108 SHI131107:SHI131108 RXM131107:RXM131108 RNQ131107:RNQ131108 RDU131107:RDU131108 QTY131107:QTY131108 QKC131107:QKC131108 QAG131107:QAG131108 PQK131107:PQK131108 PGO131107:PGO131108 OWS131107:OWS131108 OMW131107:OMW131108 ODA131107:ODA131108 NTE131107:NTE131108 NJI131107:NJI131108 MZM131107:MZM131108 MPQ131107:MPQ131108 MFU131107:MFU131108 LVY131107:LVY131108 LMC131107:LMC131108 LCG131107:LCG131108 KSK131107:KSK131108 KIO131107:KIO131108 JYS131107:JYS131108 JOW131107:JOW131108 JFA131107:JFA131108 IVE131107:IVE131108 ILI131107:ILI131108 IBM131107:IBM131108 HRQ131107:HRQ131108 HHU131107:HHU131108 GXY131107:GXY131108 GOC131107:GOC131108 GEG131107:GEG131108 FUK131107:FUK131108 FKO131107:FKO131108 FAS131107:FAS131108 EQW131107:EQW131108 EHA131107:EHA131108 DXE131107:DXE131108 DNI131107:DNI131108 DDM131107:DDM131108 CTQ131107:CTQ131108 CJU131107:CJU131108 BZY131107:BZY131108 BQC131107:BQC131108 BGG131107:BGG131108 AWK131107:AWK131108 AMO131107:AMO131108 ACS131107:ACS131108 SW131107:SW131108 JA131107:JA131108 E131107:E131108 WVM65571:WVM65572 WLQ65571:WLQ65572 WBU65571:WBU65572 VRY65571:VRY65572 VIC65571:VIC65572 UYG65571:UYG65572 UOK65571:UOK65572 UEO65571:UEO65572 TUS65571:TUS65572 TKW65571:TKW65572 TBA65571:TBA65572 SRE65571:SRE65572 SHI65571:SHI65572 RXM65571:RXM65572 RNQ65571:RNQ65572 RDU65571:RDU65572 QTY65571:QTY65572 QKC65571:QKC65572 QAG65571:QAG65572 PQK65571:PQK65572 PGO65571:PGO65572 OWS65571:OWS65572 OMW65571:OMW65572 ODA65571:ODA65572 NTE65571:NTE65572 NJI65571:NJI65572 MZM65571:MZM65572 MPQ65571:MPQ65572 MFU65571:MFU65572 LVY65571:LVY65572 LMC65571:LMC65572 LCG65571:LCG65572 KSK65571:KSK65572 KIO65571:KIO65572 JYS65571:JYS65572 JOW65571:JOW65572 JFA65571:JFA65572 IVE65571:IVE65572 ILI65571:ILI65572 IBM65571:IBM65572 HRQ65571:HRQ65572 HHU65571:HHU65572 GXY65571:GXY65572 GOC65571:GOC65572 GEG65571:GEG65572 FUK65571:FUK65572 FKO65571:FKO65572 FAS65571:FAS65572 EQW65571:EQW65572 EHA65571:EHA65572 DXE65571:DXE65572 DNI65571:DNI65572 DDM65571:DDM65572 CTQ65571:CTQ65572 CJU65571:CJU65572 BZY65571:BZY65572 BQC65571:BQC65572 BGG65571:BGG65572 AWK65571:AWK65572 AMO65571:AMO65572 ACS65571:ACS65572 SW65571:SW65572 JA65571:JA65572 E65571:E65572 WVM35:WVM36 WLQ35:WLQ36 WBU35:WBU36 VRY35:VRY36 VIC35:VIC36 UYG35:UYG36 UOK35:UOK36 UEO35:UEO36 TUS35:TUS36 TKW35:TKW36 TBA35:TBA36 SRE35:SRE36 SHI35:SHI36 RXM35:RXM36 RNQ35:RNQ36 RDU35:RDU36 QTY35:QTY36 QKC35:QKC36 QAG35:QAG36 PQK35:PQK36 PGO35:PGO36 OWS35:OWS36 OMW35:OMW36 ODA35:ODA36 NTE35:NTE36 NJI35:NJI36 MZM35:MZM36 MPQ35:MPQ36 MFU35:MFU36 LVY35:LVY36 LMC35:LMC36 LCG35:LCG36 KSK35:KSK36 KIO35:KIO36 JYS35:JYS36 JOW35:JOW36 JFA35:JFA36 IVE35:IVE36 ILI35:ILI36 IBM35:IBM36 HRQ35:HRQ36 HHU35:HHU36 GXY35:GXY36 GOC35:GOC36 GEG35:GEG36 FUK35:FUK36 FKO35:FKO36 FAS35:FAS36 EQW35:EQW36 EHA35:EHA36 DXE35:DXE36 DNI35:DNI36 DDM35:DDM36 CTQ35:CTQ36 CJU35:CJU36 BZY35:BZY36 BQC35:BQC36 BGG35:BGG36 AWK35:AWK36 AMO35:AMO36 ACS35:ACS36 SW35:SW36 JA35:JA36">
      <formula1>yesno</formula1>
    </dataValidation>
    <dataValidation type="list" allowBlank="1" showInputMessage="1" showErrorMessage="1" sqref="E28 WVM983068 WLQ983068 WBU983068 VRY983068 VIC983068 UYG983068 UOK983068 UEO983068 TUS983068 TKW983068 TBA983068 SRE983068 SHI983068 RXM983068 RNQ983068 RDU983068 QTY983068 QKC983068 QAG983068 PQK983068 PGO983068 OWS983068 OMW983068 ODA983068 NTE983068 NJI983068 MZM983068 MPQ983068 MFU983068 LVY983068 LMC983068 LCG983068 KSK983068 KIO983068 JYS983068 JOW983068 JFA983068 IVE983068 ILI983068 IBM983068 HRQ983068 HHU983068 GXY983068 GOC983068 GEG983068 FUK983068 FKO983068 FAS983068 EQW983068 EHA983068 DXE983068 DNI983068 DDM983068 CTQ983068 CJU983068 BZY983068 BQC983068 BGG983068 AWK983068 AMO983068 ACS983068 SW983068 JA983068 E983068 WVM917532 WLQ917532 WBU917532 VRY917532 VIC917532 UYG917532 UOK917532 UEO917532 TUS917532 TKW917532 TBA917532 SRE917532 SHI917532 RXM917532 RNQ917532 RDU917532 QTY917532 QKC917532 QAG917532 PQK917532 PGO917532 OWS917532 OMW917532 ODA917532 NTE917532 NJI917532 MZM917532 MPQ917532 MFU917532 LVY917532 LMC917532 LCG917532 KSK917532 KIO917532 JYS917532 JOW917532 JFA917532 IVE917532 ILI917532 IBM917532 HRQ917532 HHU917532 GXY917532 GOC917532 GEG917532 FUK917532 FKO917532 FAS917532 EQW917532 EHA917532 DXE917532 DNI917532 DDM917532 CTQ917532 CJU917532 BZY917532 BQC917532 BGG917532 AWK917532 AMO917532 ACS917532 SW917532 JA917532 E917532 WVM851996 WLQ851996 WBU851996 VRY851996 VIC851996 UYG851996 UOK851996 UEO851996 TUS851996 TKW851996 TBA851996 SRE851996 SHI851996 RXM851996 RNQ851996 RDU851996 QTY851996 QKC851996 QAG851996 PQK851996 PGO851996 OWS851996 OMW851996 ODA851996 NTE851996 NJI851996 MZM851996 MPQ851996 MFU851996 LVY851996 LMC851996 LCG851996 KSK851996 KIO851996 JYS851996 JOW851996 JFA851996 IVE851996 ILI851996 IBM851996 HRQ851996 HHU851996 GXY851996 GOC851996 GEG851996 FUK851996 FKO851996 FAS851996 EQW851996 EHA851996 DXE851996 DNI851996 DDM851996 CTQ851996 CJU851996 BZY851996 BQC851996 BGG851996 AWK851996 AMO851996 ACS851996 SW851996 JA851996 E851996 WVM786460 WLQ786460 WBU786460 VRY786460 VIC786460 UYG786460 UOK786460 UEO786460 TUS786460 TKW786460 TBA786460 SRE786460 SHI786460 RXM786460 RNQ786460 RDU786460 QTY786460 QKC786460 QAG786460 PQK786460 PGO786460 OWS786460 OMW786460 ODA786460 NTE786460 NJI786460 MZM786460 MPQ786460 MFU786460 LVY786460 LMC786460 LCG786460 KSK786460 KIO786460 JYS786460 JOW786460 JFA786460 IVE786460 ILI786460 IBM786460 HRQ786460 HHU786460 GXY786460 GOC786460 GEG786460 FUK786460 FKO786460 FAS786460 EQW786460 EHA786460 DXE786460 DNI786460 DDM786460 CTQ786460 CJU786460 BZY786460 BQC786460 BGG786460 AWK786460 AMO786460 ACS786460 SW786460 JA786460 E786460 WVM720924 WLQ720924 WBU720924 VRY720924 VIC720924 UYG720924 UOK720924 UEO720924 TUS720924 TKW720924 TBA720924 SRE720924 SHI720924 RXM720924 RNQ720924 RDU720924 QTY720924 QKC720924 QAG720924 PQK720924 PGO720924 OWS720924 OMW720924 ODA720924 NTE720924 NJI720924 MZM720924 MPQ720924 MFU720924 LVY720924 LMC720924 LCG720924 KSK720924 KIO720924 JYS720924 JOW720924 JFA720924 IVE720924 ILI720924 IBM720924 HRQ720924 HHU720924 GXY720924 GOC720924 GEG720924 FUK720924 FKO720924 FAS720924 EQW720924 EHA720924 DXE720924 DNI720924 DDM720924 CTQ720924 CJU720924 BZY720924 BQC720924 BGG720924 AWK720924 AMO720924 ACS720924 SW720924 JA720924 E720924 WVM655388 WLQ655388 WBU655388 VRY655388 VIC655388 UYG655388 UOK655388 UEO655388 TUS655388 TKW655388 TBA655388 SRE655388 SHI655388 RXM655388 RNQ655388 RDU655388 QTY655388 QKC655388 QAG655388 PQK655388 PGO655388 OWS655388 OMW655388 ODA655388 NTE655388 NJI655388 MZM655388 MPQ655388 MFU655388 LVY655388 LMC655388 LCG655388 KSK655388 KIO655388 JYS655388 JOW655388 JFA655388 IVE655388 ILI655388 IBM655388 HRQ655388 HHU655388 GXY655388 GOC655388 GEG655388 FUK655388 FKO655388 FAS655388 EQW655388 EHA655388 DXE655388 DNI655388 DDM655388 CTQ655388 CJU655388 BZY655388 BQC655388 BGG655388 AWK655388 AMO655388 ACS655388 SW655388 JA655388 E655388 WVM589852 WLQ589852 WBU589852 VRY589852 VIC589852 UYG589852 UOK589852 UEO589852 TUS589852 TKW589852 TBA589852 SRE589852 SHI589852 RXM589852 RNQ589852 RDU589852 QTY589852 QKC589852 QAG589852 PQK589852 PGO589852 OWS589852 OMW589852 ODA589852 NTE589852 NJI589852 MZM589852 MPQ589852 MFU589852 LVY589852 LMC589852 LCG589852 KSK589852 KIO589852 JYS589852 JOW589852 JFA589852 IVE589852 ILI589852 IBM589852 HRQ589852 HHU589852 GXY589852 GOC589852 GEG589852 FUK589852 FKO589852 FAS589852 EQW589852 EHA589852 DXE589852 DNI589852 DDM589852 CTQ589852 CJU589852 BZY589852 BQC589852 BGG589852 AWK589852 AMO589852 ACS589852 SW589852 JA589852 E589852 WVM524316 WLQ524316 WBU524316 VRY524316 VIC524316 UYG524316 UOK524316 UEO524316 TUS524316 TKW524316 TBA524316 SRE524316 SHI524316 RXM524316 RNQ524316 RDU524316 QTY524316 QKC524316 QAG524316 PQK524316 PGO524316 OWS524316 OMW524316 ODA524316 NTE524316 NJI524316 MZM524316 MPQ524316 MFU524316 LVY524316 LMC524316 LCG524316 KSK524316 KIO524316 JYS524316 JOW524316 JFA524316 IVE524316 ILI524316 IBM524316 HRQ524316 HHU524316 GXY524316 GOC524316 GEG524316 FUK524316 FKO524316 FAS524316 EQW524316 EHA524316 DXE524316 DNI524316 DDM524316 CTQ524316 CJU524316 BZY524316 BQC524316 BGG524316 AWK524316 AMO524316 ACS524316 SW524316 JA524316 E524316 WVM458780 WLQ458780 WBU458780 VRY458780 VIC458780 UYG458780 UOK458780 UEO458780 TUS458780 TKW458780 TBA458780 SRE458780 SHI458780 RXM458780 RNQ458780 RDU458780 QTY458780 QKC458780 QAG458780 PQK458780 PGO458780 OWS458780 OMW458780 ODA458780 NTE458780 NJI458780 MZM458780 MPQ458780 MFU458780 LVY458780 LMC458780 LCG458780 KSK458780 KIO458780 JYS458780 JOW458780 JFA458780 IVE458780 ILI458780 IBM458780 HRQ458780 HHU458780 GXY458780 GOC458780 GEG458780 FUK458780 FKO458780 FAS458780 EQW458780 EHA458780 DXE458780 DNI458780 DDM458780 CTQ458780 CJU458780 BZY458780 BQC458780 BGG458780 AWK458780 AMO458780 ACS458780 SW458780 JA458780 E458780 WVM393244 WLQ393244 WBU393244 VRY393244 VIC393244 UYG393244 UOK393244 UEO393244 TUS393244 TKW393244 TBA393244 SRE393244 SHI393244 RXM393244 RNQ393244 RDU393244 QTY393244 QKC393244 QAG393244 PQK393244 PGO393244 OWS393244 OMW393244 ODA393244 NTE393244 NJI393244 MZM393244 MPQ393244 MFU393244 LVY393244 LMC393244 LCG393244 KSK393244 KIO393244 JYS393244 JOW393244 JFA393244 IVE393244 ILI393244 IBM393244 HRQ393244 HHU393244 GXY393244 GOC393244 GEG393244 FUK393244 FKO393244 FAS393244 EQW393244 EHA393244 DXE393244 DNI393244 DDM393244 CTQ393244 CJU393244 BZY393244 BQC393244 BGG393244 AWK393244 AMO393244 ACS393244 SW393244 JA393244 E393244 WVM327708 WLQ327708 WBU327708 VRY327708 VIC327708 UYG327708 UOK327708 UEO327708 TUS327708 TKW327708 TBA327708 SRE327708 SHI327708 RXM327708 RNQ327708 RDU327708 QTY327708 QKC327708 QAG327708 PQK327708 PGO327708 OWS327708 OMW327708 ODA327708 NTE327708 NJI327708 MZM327708 MPQ327708 MFU327708 LVY327708 LMC327708 LCG327708 KSK327708 KIO327708 JYS327708 JOW327708 JFA327708 IVE327708 ILI327708 IBM327708 HRQ327708 HHU327708 GXY327708 GOC327708 GEG327708 FUK327708 FKO327708 FAS327708 EQW327708 EHA327708 DXE327708 DNI327708 DDM327708 CTQ327708 CJU327708 BZY327708 BQC327708 BGG327708 AWK327708 AMO327708 ACS327708 SW327708 JA327708 E327708 WVM262172 WLQ262172 WBU262172 VRY262172 VIC262172 UYG262172 UOK262172 UEO262172 TUS262172 TKW262172 TBA262172 SRE262172 SHI262172 RXM262172 RNQ262172 RDU262172 QTY262172 QKC262172 QAG262172 PQK262172 PGO262172 OWS262172 OMW262172 ODA262172 NTE262172 NJI262172 MZM262172 MPQ262172 MFU262172 LVY262172 LMC262172 LCG262172 KSK262172 KIO262172 JYS262172 JOW262172 JFA262172 IVE262172 ILI262172 IBM262172 HRQ262172 HHU262172 GXY262172 GOC262172 GEG262172 FUK262172 FKO262172 FAS262172 EQW262172 EHA262172 DXE262172 DNI262172 DDM262172 CTQ262172 CJU262172 BZY262172 BQC262172 BGG262172 AWK262172 AMO262172 ACS262172 SW262172 JA262172 E262172 WVM196636 WLQ196636 WBU196636 VRY196636 VIC196636 UYG196636 UOK196636 UEO196636 TUS196636 TKW196636 TBA196636 SRE196636 SHI196636 RXM196636 RNQ196636 RDU196636 QTY196636 QKC196636 QAG196636 PQK196636 PGO196636 OWS196636 OMW196636 ODA196636 NTE196636 NJI196636 MZM196636 MPQ196636 MFU196636 LVY196636 LMC196636 LCG196636 KSK196636 KIO196636 JYS196636 JOW196636 JFA196636 IVE196636 ILI196636 IBM196636 HRQ196636 HHU196636 GXY196636 GOC196636 GEG196636 FUK196636 FKO196636 FAS196636 EQW196636 EHA196636 DXE196636 DNI196636 DDM196636 CTQ196636 CJU196636 BZY196636 BQC196636 BGG196636 AWK196636 AMO196636 ACS196636 SW196636 JA196636 E196636 WVM131100 WLQ131100 WBU131100 VRY131100 VIC131100 UYG131100 UOK131100 UEO131100 TUS131100 TKW131100 TBA131100 SRE131100 SHI131100 RXM131100 RNQ131100 RDU131100 QTY131100 QKC131100 QAG131100 PQK131100 PGO131100 OWS131100 OMW131100 ODA131100 NTE131100 NJI131100 MZM131100 MPQ131100 MFU131100 LVY131100 LMC131100 LCG131100 KSK131100 KIO131100 JYS131100 JOW131100 JFA131100 IVE131100 ILI131100 IBM131100 HRQ131100 HHU131100 GXY131100 GOC131100 GEG131100 FUK131100 FKO131100 FAS131100 EQW131100 EHA131100 DXE131100 DNI131100 DDM131100 CTQ131100 CJU131100 BZY131100 BQC131100 BGG131100 AWK131100 AMO131100 ACS131100 SW131100 JA131100 E131100 WVM65564 WLQ65564 WBU65564 VRY65564 VIC65564 UYG65564 UOK65564 UEO65564 TUS65564 TKW65564 TBA65564 SRE65564 SHI65564 RXM65564 RNQ65564 RDU65564 QTY65564 QKC65564 QAG65564 PQK65564 PGO65564 OWS65564 OMW65564 ODA65564 NTE65564 NJI65564 MZM65564 MPQ65564 MFU65564 LVY65564 LMC65564 LCG65564 KSK65564 KIO65564 JYS65564 JOW65564 JFA65564 IVE65564 ILI65564 IBM65564 HRQ65564 HHU65564 GXY65564 GOC65564 GEG65564 FUK65564 FKO65564 FAS65564 EQW65564 EHA65564 DXE65564 DNI65564 DDM65564 CTQ65564 CJU65564 BZY65564 BQC65564 BGG65564 AWK65564 AMO65564 ACS65564 SW65564 JA65564 E65564 WVM28 WLQ28 WBU28 VRY28 VIC28 UYG28 UOK28 UEO28 TUS28 TKW28 TBA28 SRE28 SHI28 RXM28 RNQ28 RDU28 QTY28 QKC28 QAG28 PQK28 PGO28 OWS28 OMW28 ODA28 NTE28 NJI28 MZM28 MPQ28 MFU28 LVY28 LMC28 LCG28 KSK28 KIO28 JYS28 JOW28 JFA28 IVE28 ILI28 IBM28 HRQ28 HHU28 GXY28 GOC28 GEG28 FUK28 FKO28 FAS28 EQW28 EHA28 DXE28 DNI28 DDM28 CTQ28 CJU28 BZY28 BQC28 BGG28 AWK28 AMO28 ACS28 SW28 JA28 WWH983079 WML983079 WCP983079 VST983079 VIX983079 UZB983079 UPF983079 UFJ983079 TVN983079 TLR983079 TBV983079 SRZ983079 SID983079 RYH983079 ROL983079 REP983079 QUT983079 QKX983079 QBB983079 PRF983079 PHJ983079 OXN983079 ONR983079 ODV983079 NTZ983079 NKD983079 NAH983079 MQL983079 MGP983079 LWT983079 LMX983079 LDB983079 KTF983079 KJJ983079 JZN983079 JPR983079 JFV983079 IVZ983079 IMD983079 ICH983079 HSL983079 HIP983079 GYT983079 GOX983079 GFB983079 FVF983079 FLJ983079 FBN983079 ERR983079 EHV983079 DXZ983079 DOD983079 DEH983079 CUL983079 CKP983079 CAT983079 BQX983079 BHB983079 AXF983079 ANJ983079 ADN983079 TR983079 JV983079 Z983079 WWH917543 WML917543 WCP917543 VST917543 VIX917543 UZB917543 UPF917543 UFJ917543 TVN917543 TLR917543 TBV917543 SRZ917543 SID917543 RYH917543 ROL917543 REP917543 QUT917543 QKX917543 QBB917543 PRF917543 PHJ917543 OXN917543 ONR917543 ODV917543 NTZ917543 NKD917543 NAH917543 MQL917543 MGP917543 LWT917543 LMX917543 LDB917543 KTF917543 KJJ917543 JZN917543 JPR917543 JFV917543 IVZ917543 IMD917543 ICH917543 HSL917543 HIP917543 GYT917543 GOX917543 GFB917543 FVF917543 FLJ917543 FBN917543 ERR917543 EHV917543 DXZ917543 DOD917543 DEH917543 CUL917543 CKP917543 CAT917543 BQX917543 BHB917543 AXF917543 ANJ917543 ADN917543 TR917543 JV917543 Z917543 WWH852007 WML852007 WCP852007 VST852007 VIX852007 UZB852007 UPF852007 UFJ852007 TVN852007 TLR852007 TBV852007 SRZ852007 SID852007 RYH852007 ROL852007 REP852007 QUT852007 QKX852007 QBB852007 PRF852007 PHJ852007 OXN852007 ONR852007 ODV852007 NTZ852007 NKD852007 NAH852007 MQL852007 MGP852007 LWT852007 LMX852007 LDB852007 KTF852007 KJJ852007 JZN852007 JPR852007 JFV852007 IVZ852007 IMD852007 ICH852007 HSL852007 HIP852007 GYT852007 GOX852007 GFB852007 FVF852007 FLJ852007 FBN852007 ERR852007 EHV852007 DXZ852007 DOD852007 DEH852007 CUL852007 CKP852007 CAT852007 BQX852007 BHB852007 AXF852007 ANJ852007 ADN852007 TR852007 JV852007 Z852007 WWH786471 WML786471 WCP786471 VST786471 VIX786471 UZB786471 UPF786471 UFJ786471 TVN786471 TLR786471 TBV786471 SRZ786471 SID786471 RYH786471 ROL786471 REP786471 QUT786471 QKX786471 QBB786471 PRF786471 PHJ786471 OXN786471 ONR786471 ODV786471 NTZ786471 NKD786471 NAH786471 MQL786471 MGP786471 LWT786471 LMX786471 LDB786471 KTF786471 KJJ786471 JZN786471 JPR786471 JFV786471 IVZ786471 IMD786471 ICH786471 HSL786471 HIP786471 GYT786471 GOX786471 GFB786471 FVF786471 FLJ786471 FBN786471 ERR786471 EHV786471 DXZ786471 DOD786471 DEH786471 CUL786471 CKP786471 CAT786471 BQX786471 BHB786471 AXF786471 ANJ786471 ADN786471 TR786471 JV786471 Z786471 WWH720935 WML720935 WCP720935 VST720935 VIX720935 UZB720935 UPF720935 UFJ720935 TVN720935 TLR720935 TBV720935 SRZ720935 SID720935 RYH720935 ROL720935 REP720935 QUT720935 QKX720935 QBB720935 PRF720935 PHJ720935 OXN720935 ONR720935 ODV720935 NTZ720935 NKD720935 NAH720935 MQL720935 MGP720935 LWT720935 LMX720935 LDB720935 KTF720935 KJJ720935 JZN720935 JPR720935 JFV720935 IVZ720935 IMD720935 ICH720935 HSL720935 HIP720935 GYT720935 GOX720935 GFB720935 FVF720935 FLJ720935 FBN720935 ERR720935 EHV720935 DXZ720935 DOD720935 DEH720935 CUL720935 CKP720935 CAT720935 BQX720935 BHB720935 AXF720935 ANJ720935 ADN720935 TR720935 JV720935 Z720935 WWH655399 WML655399 WCP655399 VST655399 VIX655399 UZB655399 UPF655399 UFJ655399 TVN655399 TLR655399 TBV655399 SRZ655399 SID655399 RYH655399 ROL655399 REP655399 QUT655399 QKX655399 QBB655399 PRF655399 PHJ655399 OXN655399 ONR655399 ODV655399 NTZ655399 NKD655399 NAH655399 MQL655399 MGP655399 LWT655399 LMX655399 LDB655399 KTF655399 KJJ655399 JZN655399 JPR655399 JFV655399 IVZ655399 IMD655399 ICH655399 HSL655399 HIP655399 GYT655399 GOX655399 GFB655399 FVF655399 FLJ655399 FBN655399 ERR655399 EHV655399 DXZ655399 DOD655399 DEH655399 CUL655399 CKP655399 CAT655399 BQX655399 BHB655399 AXF655399 ANJ655399 ADN655399 TR655399 JV655399 Z655399 WWH589863 WML589863 WCP589863 VST589863 VIX589863 UZB589863 UPF589863 UFJ589863 TVN589863 TLR589863 TBV589863 SRZ589863 SID589863 RYH589863 ROL589863 REP589863 QUT589863 QKX589863 QBB589863 PRF589863 PHJ589863 OXN589863 ONR589863 ODV589863 NTZ589863 NKD589863 NAH589863 MQL589863 MGP589863 LWT589863 LMX589863 LDB589863 KTF589863 KJJ589863 JZN589863 JPR589863 JFV589863 IVZ589863 IMD589863 ICH589863 HSL589863 HIP589863 GYT589863 GOX589863 GFB589863 FVF589863 FLJ589863 FBN589863 ERR589863 EHV589863 DXZ589863 DOD589863 DEH589863 CUL589863 CKP589863 CAT589863 BQX589863 BHB589863 AXF589863 ANJ589863 ADN589863 TR589863 JV589863 Z589863 WWH524327 WML524327 WCP524327 VST524327 VIX524327 UZB524327 UPF524327 UFJ524327 TVN524327 TLR524327 TBV524327 SRZ524327 SID524327 RYH524327 ROL524327 REP524327 QUT524327 QKX524327 QBB524327 PRF524327 PHJ524327 OXN524327 ONR524327 ODV524327 NTZ524327 NKD524327 NAH524327 MQL524327 MGP524327 LWT524327 LMX524327 LDB524327 KTF524327 KJJ524327 JZN524327 JPR524327 JFV524327 IVZ524327 IMD524327 ICH524327 HSL524327 HIP524327 GYT524327 GOX524327 GFB524327 FVF524327 FLJ524327 FBN524327 ERR524327 EHV524327 DXZ524327 DOD524327 DEH524327 CUL524327 CKP524327 CAT524327 BQX524327 BHB524327 AXF524327 ANJ524327 ADN524327 TR524327 JV524327 Z524327 WWH458791 WML458791 WCP458791 VST458791 VIX458791 UZB458791 UPF458791 UFJ458791 TVN458791 TLR458791 TBV458791 SRZ458791 SID458791 RYH458791 ROL458791 REP458791 QUT458791 QKX458791 QBB458791 PRF458791 PHJ458791 OXN458791 ONR458791 ODV458791 NTZ458791 NKD458791 NAH458791 MQL458791 MGP458791 LWT458791 LMX458791 LDB458791 KTF458791 KJJ458791 JZN458791 JPR458791 JFV458791 IVZ458791 IMD458791 ICH458791 HSL458791 HIP458791 GYT458791 GOX458791 GFB458791 FVF458791 FLJ458791 FBN458791 ERR458791 EHV458791 DXZ458791 DOD458791 DEH458791 CUL458791 CKP458791 CAT458791 BQX458791 BHB458791 AXF458791 ANJ458791 ADN458791 TR458791 JV458791 Z458791 WWH393255 WML393255 WCP393255 VST393255 VIX393255 UZB393255 UPF393255 UFJ393255 TVN393255 TLR393255 TBV393255 SRZ393255 SID393255 RYH393255 ROL393255 REP393255 QUT393255 QKX393255 QBB393255 PRF393255 PHJ393255 OXN393255 ONR393255 ODV393255 NTZ393255 NKD393255 NAH393255 MQL393255 MGP393255 LWT393255 LMX393255 LDB393255 KTF393255 KJJ393255 JZN393255 JPR393255 JFV393255 IVZ393255 IMD393255 ICH393255 HSL393255 HIP393255 GYT393255 GOX393255 GFB393255 FVF393255 FLJ393255 FBN393255 ERR393255 EHV393255 DXZ393255 DOD393255 DEH393255 CUL393255 CKP393255 CAT393255 BQX393255 BHB393255 AXF393255 ANJ393255 ADN393255 TR393255 JV393255 Z393255 WWH327719 WML327719 WCP327719 VST327719 VIX327719 UZB327719 UPF327719 UFJ327719 TVN327719 TLR327719 TBV327719 SRZ327719 SID327719 RYH327719 ROL327719 REP327719 QUT327719 QKX327719 QBB327719 PRF327719 PHJ327719 OXN327719 ONR327719 ODV327719 NTZ327719 NKD327719 NAH327719 MQL327719 MGP327719 LWT327719 LMX327719 LDB327719 KTF327719 KJJ327719 JZN327719 JPR327719 JFV327719 IVZ327719 IMD327719 ICH327719 HSL327719 HIP327719 GYT327719 GOX327719 GFB327719 FVF327719 FLJ327719 FBN327719 ERR327719 EHV327719 DXZ327719 DOD327719 DEH327719 CUL327719 CKP327719 CAT327719 BQX327719 BHB327719 AXF327719 ANJ327719 ADN327719 TR327719 JV327719 Z327719 WWH262183 WML262183 WCP262183 VST262183 VIX262183 UZB262183 UPF262183 UFJ262183 TVN262183 TLR262183 TBV262183 SRZ262183 SID262183 RYH262183 ROL262183 REP262183 QUT262183 QKX262183 QBB262183 PRF262183 PHJ262183 OXN262183 ONR262183 ODV262183 NTZ262183 NKD262183 NAH262183 MQL262183 MGP262183 LWT262183 LMX262183 LDB262183 KTF262183 KJJ262183 JZN262183 JPR262183 JFV262183 IVZ262183 IMD262183 ICH262183 HSL262183 HIP262183 GYT262183 GOX262183 GFB262183 FVF262183 FLJ262183 FBN262183 ERR262183 EHV262183 DXZ262183 DOD262183 DEH262183 CUL262183 CKP262183 CAT262183 BQX262183 BHB262183 AXF262183 ANJ262183 ADN262183 TR262183 JV262183 Z262183 WWH196647 WML196647 WCP196647 VST196647 VIX196647 UZB196647 UPF196647 UFJ196647 TVN196647 TLR196647 TBV196647 SRZ196647 SID196647 RYH196647 ROL196647 REP196647 QUT196647 QKX196647 QBB196647 PRF196647 PHJ196647 OXN196647 ONR196647 ODV196647 NTZ196647 NKD196647 NAH196647 MQL196647 MGP196647 LWT196647 LMX196647 LDB196647 KTF196647 KJJ196647 JZN196647 JPR196647 JFV196647 IVZ196647 IMD196647 ICH196647 HSL196647 HIP196647 GYT196647 GOX196647 GFB196647 FVF196647 FLJ196647 FBN196647 ERR196647 EHV196647 DXZ196647 DOD196647 DEH196647 CUL196647 CKP196647 CAT196647 BQX196647 BHB196647 AXF196647 ANJ196647 ADN196647 TR196647 JV196647 Z196647 WWH131111 WML131111 WCP131111 VST131111 VIX131111 UZB131111 UPF131111 UFJ131111 TVN131111 TLR131111 TBV131111 SRZ131111 SID131111 RYH131111 ROL131111 REP131111 QUT131111 QKX131111 QBB131111 PRF131111 PHJ131111 OXN131111 ONR131111 ODV131111 NTZ131111 NKD131111 NAH131111 MQL131111 MGP131111 LWT131111 LMX131111 LDB131111 KTF131111 KJJ131111 JZN131111 JPR131111 JFV131111 IVZ131111 IMD131111 ICH131111 HSL131111 HIP131111 GYT131111 GOX131111 GFB131111 FVF131111 FLJ131111 FBN131111 ERR131111 EHV131111 DXZ131111 DOD131111 DEH131111 CUL131111 CKP131111 CAT131111 BQX131111 BHB131111 AXF131111 ANJ131111 ADN131111 TR131111 JV131111 Z131111 WWH65575 WML65575 WCP65575 VST65575 VIX65575 UZB65575 UPF65575 UFJ65575 TVN65575 TLR65575 TBV65575 SRZ65575 SID65575 RYH65575 ROL65575 REP65575 QUT65575 QKX65575 QBB65575 PRF65575 PHJ65575 OXN65575 ONR65575 ODV65575 NTZ65575 NKD65575 NAH65575 MQL65575 MGP65575 LWT65575 LMX65575 LDB65575 KTF65575 KJJ65575 JZN65575 JPR65575 JFV65575 IVZ65575 IMD65575 ICH65575 HSL65575 HIP65575 GYT65575 GOX65575 GFB65575 FVF65575 FLJ65575 FBN65575 ERR65575 EHV65575 DXZ65575 DOD65575 DEH65575 CUL65575 CKP65575 CAT65575 BQX65575 BHB65575 AXF65575 ANJ65575 ADN65575 TR65575 JV65575 Z65575 WWH39 WML39 WCP39 VST39 VIX39 UZB39 UPF39 UFJ39 TVN39 TLR39 TBV39 SRZ39 SID39 RYH39 ROL39 REP39 QUT39 QKX39 QBB39 PRF39 PHJ39 OXN39 ONR39 ODV39 NTZ39 NKD39 NAH39 MQL39 MGP39 LWT39 LMX39 LDB39 KTF39 KJJ39 JZN39 JPR39 JFV39 IVZ39 IMD39 ICH39 HSL39 HIP39 GYT39 GOX39 GFB39 FVF39 FLJ39 FBN39 ERR39 EHV39 DXZ39 DOD39 DEH39 CUL39 CKP39 CAT39 BQX39 BHB39 AXF39 ANJ39 ADN39 TR39 JV39">
      <formula1>#REF!</formula1>
    </dataValidation>
    <dataValidation type="list" allowBlank="1" showInputMessage="1" showErrorMessage="1" sqref="WVN983080:WVN983089 F101:F205 H40:H100 WLR983080:WLR983089 WBV983080:WBV983089 VRZ983080:VRZ983089 VID983080:VID983089 UYH983080:UYH983089 UOL983080:UOL983089 UEP983080:UEP983089 TUT983080:TUT983089 TKX983080:TKX983089 TBB983080:TBB983089 SRF983080:SRF983089 SHJ983080:SHJ983089 RXN983080:RXN983089 RNR983080:RNR983089 RDV983080:RDV983089 QTZ983080:QTZ983089 QKD983080:QKD983089 QAH983080:QAH983089 PQL983080:PQL983089 PGP983080:PGP983089 OWT983080:OWT983089 OMX983080:OMX983089 ODB983080:ODB983089 NTF983080:NTF983089 NJJ983080:NJJ983089 MZN983080:MZN983089 MPR983080:MPR983089 MFV983080:MFV983089 LVZ983080:LVZ983089 LMD983080:LMD983089 LCH983080:LCH983089 KSL983080:KSL983089 KIP983080:KIP983089 JYT983080:JYT983089 JOX983080:JOX983089 JFB983080:JFB983089 IVF983080:IVF983089 ILJ983080:ILJ983089 IBN983080:IBN983089 HRR983080:HRR983089 HHV983080:HHV983089 GXZ983080:GXZ983089 GOD983080:GOD983089 GEH983080:GEH983089 FUL983080:FUL983089 FKP983080:FKP983089 FAT983080:FAT983089 EQX983080:EQX983089 EHB983080:EHB983089 DXF983080:DXF983089 DNJ983080:DNJ983089 DDN983080:DDN983089 CTR983080:CTR983089 CJV983080:CJV983089 BZZ983080:BZZ983089 BQD983080:BQD983089 BGH983080:BGH983089 AWL983080:AWL983089 AMP983080:AMP983089 ACT983080:ACT983089 SX983080:SX983089 JB983080:JB983089 F983080:F983089 WVN917544:WVN917553 WLR917544:WLR917553 WBV917544:WBV917553 VRZ917544:VRZ917553 VID917544:VID917553 UYH917544:UYH917553 UOL917544:UOL917553 UEP917544:UEP917553 TUT917544:TUT917553 TKX917544:TKX917553 TBB917544:TBB917553 SRF917544:SRF917553 SHJ917544:SHJ917553 RXN917544:RXN917553 RNR917544:RNR917553 RDV917544:RDV917553 QTZ917544:QTZ917553 QKD917544:QKD917553 QAH917544:QAH917553 PQL917544:PQL917553 PGP917544:PGP917553 OWT917544:OWT917553 OMX917544:OMX917553 ODB917544:ODB917553 NTF917544:NTF917553 NJJ917544:NJJ917553 MZN917544:MZN917553 MPR917544:MPR917553 MFV917544:MFV917553 LVZ917544:LVZ917553 LMD917544:LMD917553 LCH917544:LCH917553 KSL917544:KSL917553 KIP917544:KIP917553 JYT917544:JYT917553 JOX917544:JOX917553 JFB917544:JFB917553 IVF917544:IVF917553 ILJ917544:ILJ917553 IBN917544:IBN917553 HRR917544:HRR917553 HHV917544:HHV917553 GXZ917544:GXZ917553 GOD917544:GOD917553 GEH917544:GEH917553 FUL917544:FUL917553 FKP917544:FKP917553 FAT917544:FAT917553 EQX917544:EQX917553 EHB917544:EHB917553 DXF917544:DXF917553 DNJ917544:DNJ917553 DDN917544:DDN917553 CTR917544:CTR917553 CJV917544:CJV917553 BZZ917544:BZZ917553 BQD917544:BQD917553 BGH917544:BGH917553 AWL917544:AWL917553 AMP917544:AMP917553 ACT917544:ACT917553 SX917544:SX917553 JB917544:JB917553 F917544:F917553 WVN852008:WVN852017 WLR852008:WLR852017 WBV852008:WBV852017 VRZ852008:VRZ852017 VID852008:VID852017 UYH852008:UYH852017 UOL852008:UOL852017 UEP852008:UEP852017 TUT852008:TUT852017 TKX852008:TKX852017 TBB852008:TBB852017 SRF852008:SRF852017 SHJ852008:SHJ852017 RXN852008:RXN852017 RNR852008:RNR852017 RDV852008:RDV852017 QTZ852008:QTZ852017 QKD852008:QKD852017 QAH852008:QAH852017 PQL852008:PQL852017 PGP852008:PGP852017 OWT852008:OWT852017 OMX852008:OMX852017 ODB852008:ODB852017 NTF852008:NTF852017 NJJ852008:NJJ852017 MZN852008:MZN852017 MPR852008:MPR852017 MFV852008:MFV852017 LVZ852008:LVZ852017 LMD852008:LMD852017 LCH852008:LCH852017 KSL852008:KSL852017 KIP852008:KIP852017 JYT852008:JYT852017 JOX852008:JOX852017 JFB852008:JFB852017 IVF852008:IVF852017 ILJ852008:ILJ852017 IBN852008:IBN852017 HRR852008:HRR852017 HHV852008:HHV852017 GXZ852008:GXZ852017 GOD852008:GOD852017 GEH852008:GEH852017 FUL852008:FUL852017 FKP852008:FKP852017 FAT852008:FAT852017 EQX852008:EQX852017 EHB852008:EHB852017 DXF852008:DXF852017 DNJ852008:DNJ852017 DDN852008:DDN852017 CTR852008:CTR852017 CJV852008:CJV852017 BZZ852008:BZZ852017 BQD852008:BQD852017 BGH852008:BGH852017 AWL852008:AWL852017 AMP852008:AMP852017 ACT852008:ACT852017 SX852008:SX852017 JB852008:JB852017 F852008:F852017 WVN786472:WVN786481 WLR786472:WLR786481 WBV786472:WBV786481 VRZ786472:VRZ786481 VID786472:VID786481 UYH786472:UYH786481 UOL786472:UOL786481 UEP786472:UEP786481 TUT786472:TUT786481 TKX786472:TKX786481 TBB786472:TBB786481 SRF786472:SRF786481 SHJ786472:SHJ786481 RXN786472:RXN786481 RNR786472:RNR786481 RDV786472:RDV786481 QTZ786472:QTZ786481 QKD786472:QKD786481 QAH786472:QAH786481 PQL786472:PQL786481 PGP786472:PGP786481 OWT786472:OWT786481 OMX786472:OMX786481 ODB786472:ODB786481 NTF786472:NTF786481 NJJ786472:NJJ786481 MZN786472:MZN786481 MPR786472:MPR786481 MFV786472:MFV786481 LVZ786472:LVZ786481 LMD786472:LMD786481 LCH786472:LCH786481 KSL786472:KSL786481 KIP786472:KIP786481 JYT786472:JYT786481 JOX786472:JOX786481 JFB786472:JFB786481 IVF786472:IVF786481 ILJ786472:ILJ786481 IBN786472:IBN786481 HRR786472:HRR786481 HHV786472:HHV786481 GXZ786472:GXZ786481 GOD786472:GOD786481 GEH786472:GEH786481 FUL786472:FUL786481 FKP786472:FKP786481 FAT786472:FAT786481 EQX786472:EQX786481 EHB786472:EHB786481 DXF786472:DXF786481 DNJ786472:DNJ786481 DDN786472:DDN786481 CTR786472:CTR786481 CJV786472:CJV786481 BZZ786472:BZZ786481 BQD786472:BQD786481 BGH786472:BGH786481 AWL786472:AWL786481 AMP786472:AMP786481 ACT786472:ACT786481 SX786472:SX786481 JB786472:JB786481 F786472:F786481 WVN720936:WVN720945 WLR720936:WLR720945 WBV720936:WBV720945 VRZ720936:VRZ720945 VID720936:VID720945 UYH720936:UYH720945 UOL720936:UOL720945 UEP720936:UEP720945 TUT720936:TUT720945 TKX720936:TKX720945 TBB720936:TBB720945 SRF720936:SRF720945 SHJ720936:SHJ720945 RXN720936:RXN720945 RNR720936:RNR720945 RDV720936:RDV720945 QTZ720936:QTZ720945 QKD720936:QKD720945 QAH720936:QAH720945 PQL720936:PQL720945 PGP720936:PGP720945 OWT720936:OWT720945 OMX720936:OMX720945 ODB720936:ODB720945 NTF720936:NTF720945 NJJ720936:NJJ720945 MZN720936:MZN720945 MPR720936:MPR720945 MFV720936:MFV720945 LVZ720936:LVZ720945 LMD720936:LMD720945 LCH720936:LCH720945 KSL720936:KSL720945 KIP720936:KIP720945 JYT720936:JYT720945 JOX720936:JOX720945 JFB720936:JFB720945 IVF720936:IVF720945 ILJ720936:ILJ720945 IBN720936:IBN720945 HRR720936:HRR720945 HHV720936:HHV720945 GXZ720936:GXZ720945 GOD720936:GOD720945 GEH720936:GEH720945 FUL720936:FUL720945 FKP720936:FKP720945 FAT720936:FAT720945 EQX720936:EQX720945 EHB720936:EHB720945 DXF720936:DXF720945 DNJ720936:DNJ720945 DDN720936:DDN720945 CTR720936:CTR720945 CJV720936:CJV720945 BZZ720936:BZZ720945 BQD720936:BQD720945 BGH720936:BGH720945 AWL720936:AWL720945 AMP720936:AMP720945 ACT720936:ACT720945 SX720936:SX720945 JB720936:JB720945 F720936:F720945 WVN655400:WVN655409 WLR655400:WLR655409 WBV655400:WBV655409 VRZ655400:VRZ655409 VID655400:VID655409 UYH655400:UYH655409 UOL655400:UOL655409 UEP655400:UEP655409 TUT655400:TUT655409 TKX655400:TKX655409 TBB655400:TBB655409 SRF655400:SRF655409 SHJ655400:SHJ655409 RXN655400:RXN655409 RNR655400:RNR655409 RDV655400:RDV655409 QTZ655400:QTZ655409 QKD655400:QKD655409 QAH655400:QAH655409 PQL655400:PQL655409 PGP655400:PGP655409 OWT655400:OWT655409 OMX655400:OMX655409 ODB655400:ODB655409 NTF655400:NTF655409 NJJ655400:NJJ655409 MZN655400:MZN655409 MPR655400:MPR655409 MFV655400:MFV655409 LVZ655400:LVZ655409 LMD655400:LMD655409 LCH655400:LCH655409 KSL655400:KSL655409 KIP655400:KIP655409 JYT655400:JYT655409 JOX655400:JOX655409 JFB655400:JFB655409 IVF655400:IVF655409 ILJ655400:ILJ655409 IBN655400:IBN655409 HRR655400:HRR655409 HHV655400:HHV655409 GXZ655400:GXZ655409 GOD655400:GOD655409 GEH655400:GEH655409 FUL655400:FUL655409 FKP655400:FKP655409 FAT655400:FAT655409 EQX655400:EQX655409 EHB655400:EHB655409 DXF655400:DXF655409 DNJ655400:DNJ655409 DDN655400:DDN655409 CTR655400:CTR655409 CJV655400:CJV655409 BZZ655400:BZZ655409 BQD655400:BQD655409 BGH655400:BGH655409 AWL655400:AWL655409 AMP655400:AMP655409 ACT655400:ACT655409 SX655400:SX655409 JB655400:JB655409 F655400:F655409 WVN589864:WVN589873 WLR589864:WLR589873 WBV589864:WBV589873 VRZ589864:VRZ589873 VID589864:VID589873 UYH589864:UYH589873 UOL589864:UOL589873 UEP589864:UEP589873 TUT589864:TUT589873 TKX589864:TKX589873 TBB589864:TBB589873 SRF589864:SRF589873 SHJ589864:SHJ589873 RXN589864:RXN589873 RNR589864:RNR589873 RDV589864:RDV589873 QTZ589864:QTZ589873 QKD589864:QKD589873 QAH589864:QAH589873 PQL589864:PQL589873 PGP589864:PGP589873 OWT589864:OWT589873 OMX589864:OMX589873 ODB589864:ODB589873 NTF589864:NTF589873 NJJ589864:NJJ589873 MZN589864:MZN589873 MPR589864:MPR589873 MFV589864:MFV589873 LVZ589864:LVZ589873 LMD589864:LMD589873 LCH589864:LCH589873 KSL589864:KSL589873 KIP589864:KIP589873 JYT589864:JYT589873 JOX589864:JOX589873 JFB589864:JFB589873 IVF589864:IVF589873 ILJ589864:ILJ589873 IBN589864:IBN589873 HRR589864:HRR589873 HHV589864:HHV589873 GXZ589864:GXZ589873 GOD589864:GOD589873 GEH589864:GEH589873 FUL589864:FUL589873 FKP589864:FKP589873 FAT589864:FAT589873 EQX589864:EQX589873 EHB589864:EHB589873 DXF589864:DXF589873 DNJ589864:DNJ589873 DDN589864:DDN589873 CTR589864:CTR589873 CJV589864:CJV589873 BZZ589864:BZZ589873 BQD589864:BQD589873 BGH589864:BGH589873 AWL589864:AWL589873 AMP589864:AMP589873 ACT589864:ACT589873 SX589864:SX589873 JB589864:JB589873 F589864:F589873 WVN524328:WVN524337 WLR524328:WLR524337 WBV524328:WBV524337 VRZ524328:VRZ524337 VID524328:VID524337 UYH524328:UYH524337 UOL524328:UOL524337 UEP524328:UEP524337 TUT524328:TUT524337 TKX524328:TKX524337 TBB524328:TBB524337 SRF524328:SRF524337 SHJ524328:SHJ524337 RXN524328:RXN524337 RNR524328:RNR524337 RDV524328:RDV524337 QTZ524328:QTZ524337 QKD524328:QKD524337 QAH524328:QAH524337 PQL524328:PQL524337 PGP524328:PGP524337 OWT524328:OWT524337 OMX524328:OMX524337 ODB524328:ODB524337 NTF524328:NTF524337 NJJ524328:NJJ524337 MZN524328:MZN524337 MPR524328:MPR524337 MFV524328:MFV524337 LVZ524328:LVZ524337 LMD524328:LMD524337 LCH524328:LCH524337 KSL524328:KSL524337 KIP524328:KIP524337 JYT524328:JYT524337 JOX524328:JOX524337 JFB524328:JFB524337 IVF524328:IVF524337 ILJ524328:ILJ524337 IBN524328:IBN524337 HRR524328:HRR524337 HHV524328:HHV524337 GXZ524328:GXZ524337 GOD524328:GOD524337 GEH524328:GEH524337 FUL524328:FUL524337 FKP524328:FKP524337 FAT524328:FAT524337 EQX524328:EQX524337 EHB524328:EHB524337 DXF524328:DXF524337 DNJ524328:DNJ524337 DDN524328:DDN524337 CTR524328:CTR524337 CJV524328:CJV524337 BZZ524328:BZZ524337 BQD524328:BQD524337 BGH524328:BGH524337 AWL524328:AWL524337 AMP524328:AMP524337 ACT524328:ACT524337 SX524328:SX524337 JB524328:JB524337 F524328:F524337 WVN458792:WVN458801 WLR458792:WLR458801 WBV458792:WBV458801 VRZ458792:VRZ458801 VID458792:VID458801 UYH458792:UYH458801 UOL458792:UOL458801 UEP458792:UEP458801 TUT458792:TUT458801 TKX458792:TKX458801 TBB458792:TBB458801 SRF458792:SRF458801 SHJ458792:SHJ458801 RXN458792:RXN458801 RNR458792:RNR458801 RDV458792:RDV458801 QTZ458792:QTZ458801 QKD458792:QKD458801 QAH458792:QAH458801 PQL458792:PQL458801 PGP458792:PGP458801 OWT458792:OWT458801 OMX458792:OMX458801 ODB458792:ODB458801 NTF458792:NTF458801 NJJ458792:NJJ458801 MZN458792:MZN458801 MPR458792:MPR458801 MFV458792:MFV458801 LVZ458792:LVZ458801 LMD458792:LMD458801 LCH458792:LCH458801 KSL458792:KSL458801 KIP458792:KIP458801 JYT458792:JYT458801 JOX458792:JOX458801 JFB458792:JFB458801 IVF458792:IVF458801 ILJ458792:ILJ458801 IBN458792:IBN458801 HRR458792:HRR458801 HHV458792:HHV458801 GXZ458792:GXZ458801 GOD458792:GOD458801 GEH458792:GEH458801 FUL458792:FUL458801 FKP458792:FKP458801 FAT458792:FAT458801 EQX458792:EQX458801 EHB458792:EHB458801 DXF458792:DXF458801 DNJ458792:DNJ458801 DDN458792:DDN458801 CTR458792:CTR458801 CJV458792:CJV458801 BZZ458792:BZZ458801 BQD458792:BQD458801 BGH458792:BGH458801 AWL458792:AWL458801 AMP458792:AMP458801 ACT458792:ACT458801 SX458792:SX458801 JB458792:JB458801 F458792:F458801 WVN393256:WVN393265 WLR393256:WLR393265 WBV393256:WBV393265 VRZ393256:VRZ393265 VID393256:VID393265 UYH393256:UYH393265 UOL393256:UOL393265 UEP393256:UEP393265 TUT393256:TUT393265 TKX393256:TKX393265 TBB393256:TBB393265 SRF393256:SRF393265 SHJ393256:SHJ393265 RXN393256:RXN393265 RNR393256:RNR393265 RDV393256:RDV393265 QTZ393256:QTZ393265 QKD393256:QKD393265 QAH393256:QAH393265 PQL393256:PQL393265 PGP393256:PGP393265 OWT393256:OWT393265 OMX393256:OMX393265 ODB393256:ODB393265 NTF393256:NTF393265 NJJ393256:NJJ393265 MZN393256:MZN393265 MPR393256:MPR393265 MFV393256:MFV393265 LVZ393256:LVZ393265 LMD393256:LMD393265 LCH393256:LCH393265 KSL393256:KSL393265 KIP393256:KIP393265 JYT393256:JYT393265 JOX393256:JOX393265 JFB393256:JFB393265 IVF393256:IVF393265 ILJ393256:ILJ393265 IBN393256:IBN393265 HRR393256:HRR393265 HHV393256:HHV393265 GXZ393256:GXZ393265 GOD393256:GOD393265 GEH393256:GEH393265 FUL393256:FUL393265 FKP393256:FKP393265 FAT393256:FAT393265 EQX393256:EQX393265 EHB393256:EHB393265 DXF393256:DXF393265 DNJ393256:DNJ393265 DDN393256:DDN393265 CTR393256:CTR393265 CJV393256:CJV393265 BZZ393256:BZZ393265 BQD393256:BQD393265 BGH393256:BGH393265 AWL393256:AWL393265 AMP393256:AMP393265 ACT393256:ACT393265 SX393256:SX393265 JB393256:JB393265 F393256:F393265 WVN327720:WVN327729 WLR327720:WLR327729 WBV327720:WBV327729 VRZ327720:VRZ327729 VID327720:VID327729 UYH327720:UYH327729 UOL327720:UOL327729 UEP327720:UEP327729 TUT327720:TUT327729 TKX327720:TKX327729 TBB327720:TBB327729 SRF327720:SRF327729 SHJ327720:SHJ327729 RXN327720:RXN327729 RNR327720:RNR327729 RDV327720:RDV327729 QTZ327720:QTZ327729 QKD327720:QKD327729 QAH327720:QAH327729 PQL327720:PQL327729 PGP327720:PGP327729 OWT327720:OWT327729 OMX327720:OMX327729 ODB327720:ODB327729 NTF327720:NTF327729 NJJ327720:NJJ327729 MZN327720:MZN327729 MPR327720:MPR327729 MFV327720:MFV327729 LVZ327720:LVZ327729 LMD327720:LMD327729 LCH327720:LCH327729 KSL327720:KSL327729 KIP327720:KIP327729 JYT327720:JYT327729 JOX327720:JOX327729 JFB327720:JFB327729 IVF327720:IVF327729 ILJ327720:ILJ327729 IBN327720:IBN327729 HRR327720:HRR327729 HHV327720:HHV327729 GXZ327720:GXZ327729 GOD327720:GOD327729 GEH327720:GEH327729 FUL327720:FUL327729 FKP327720:FKP327729 FAT327720:FAT327729 EQX327720:EQX327729 EHB327720:EHB327729 DXF327720:DXF327729 DNJ327720:DNJ327729 DDN327720:DDN327729 CTR327720:CTR327729 CJV327720:CJV327729 BZZ327720:BZZ327729 BQD327720:BQD327729 BGH327720:BGH327729 AWL327720:AWL327729 AMP327720:AMP327729 ACT327720:ACT327729 SX327720:SX327729 JB327720:JB327729 F327720:F327729 WVN262184:WVN262193 WLR262184:WLR262193 WBV262184:WBV262193 VRZ262184:VRZ262193 VID262184:VID262193 UYH262184:UYH262193 UOL262184:UOL262193 UEP262184:UEP262193 TUT262184:TUT262193 TKX262184:TKX262193 TBB262184:TBB262193 SRF262184:SRF262193 SHJ262184:SHJ262193 RXN262184:RXN262193 RNR262184:RNR262193 RDV262184:RDV262193 QTZ262184:QTZ262193 QKD262184:QKD262193 QAH262184:QAH262193 PQL262184:PQL262193 PGP262184:PGP262193 OWT262184:OWT262193 OMX262184:OMX262193 ODB262184:ODB262193 NTF262184:NTF262193 NJJ262184:NJJ262193 MZN262184:MZN262193 MPR262184:MPR262193 MFV262184:MFV262193 LVZ262184:LVZ262193 LMD262184:LMD262193 LCH262184:LCH262193 KSL262184:KSL262193 KIP262184:KIP262193 JYT262184:JYT262193 JOX262184:JOX262193 JFB262184:JFB262193 IVF262184:IVF262193 ILJ262184:ILJ262193 IBN262184:IBN262193 HRR262184:HRR262193 HHV262184:HHV262193 GXZ262184:GXZ262193 GOD262184:GOD262193 GEH262184:GEH262193 FUL262184:FUL262193 FKP262184:FKP262193 FAT262184:FAT262193 EQX262184:EQX262193 EHB262184:EHB262193 DXF262184:DXF262193 DNJ262184:DNJ262193 DDN262184:DDN262193 CTR262184:CTR262193 CJV262184:CJV262193 BZZ262184:BZZ262193 BQD262184:BQD262193 BGH262184:BGH262193 AWL262184:AWL262193 AMP262184:AMP262193 ACT262184:ACT262193 SX262184:SX262193 JB262184:JB262193 F262184:F262193 WVN196648:WVN196657 WLR196648:WLR196657 WBV196648:WBV196657 VRZ196648:VRZ196657 VID196648:VID196657 UYH196648:UYH196657 UOL196648:UOL196657 UEP196648:UEP196657 TUT196648:TUT196657 TKX196648:TKX196657 TBB196648:TBB196657 SRF196648:SRF196657 SHJ196648:SHJ196657 RXN196648:RXN196657 RNR196648:RNR196657 RDV196648:RDV196657 QTZ196648:QTZ196657 QKD196648:QKD196657 QAH196648:QAH196657 PQL196648:PQL196657 PGP196648:PGP196657 OWT196648:OWT196657 OMX196648:OMX196657 ODB196648:ODB196657 NTF196648:NTF196657 NJJ196648:NJJ196657 MZN196648:MZN196657 MPR196648:MPR196657 MFV196648:MFV196657 LVZ196648:LVZ196657 LMD196648:LMD196657 LCH196648:LCH196657 KSL196648:KSL196657 KIP196648:KIP196657 JYT196648:JYT196657 JOX196648:JOX196657 JFB196648:JFB196657 IVF196648:IVF196657 ILJ196648:ILJ196657 IBN196648:IBN196657 HRR196648:HRR196657 HHV196648:HHV196657 GXZ196648:GXZ196657 GOD196648:GOD196657 GEH196648:GEH196657 FUL196648:FUL196657 FKP196648:FKP196657 FAT196648:FAT196657 EQX196648:EQX196657 EHB196648:EHB196657 DXF196648:DXF196657 DNJ196648:DNJ196657 DDN196648:DDN196657 CTR196648:CTR196657 CJV196648:CJV196657 BZZ196648:BZZ196657 BQD196648:BQD196657 BGH196648:BGH196657 AWL196648:AWL196657 AMP196648:AMP196657 ACT196648:ACT196657 SX196648:SX196657 JB196648:JB196657 F196648:F196657 WVN131112:WVN131121 WLR131112:WLR131121 WBV131112:WBV131121 VRZ131112:VRZ131121 VID131112:VID131121 UYH131112:UYH131121 UOL131112:UOL131121 UEP131112:UEP131121 TUT131112:TUT131121 TKX131112:TKX131121 TBB131112:TBB131121 SRF131112:SRF131121 SHJ131112:SHJ131121 RXN131112:RXN131121 RNR131112:RNR131121 RDV131112:RDV131121 QTZ131112:QTZ131121 QKD131112:QKD131121 QAH131112:QAH131121 PQL131112:PQL131121 PGP131112:PGP131121 OWT131112:OWT131121 OMX131112:OMX131121 ODB131112:ODB131121 NTF131112:NTF131121 NJJ131112:NJJ131121 MZN131112:MZN131121 MPR131112:MPR131121 MFV131112:MFV131121 LVZ131112:LVZ131121 LMD131112:LMD131121 LCH131112:LCH131121 KSL131112:KSL131121 KIP131112:KIP131121 JYT131112:JYT131121 JOX131112:JOX131121 JFB131112:JFB131121 IVF131112:IVF131121 ILJ131112:ILJ131121 IBN131112:IBN131121 HRR131112:HRR131121 HHV131112:HHV131121 GXZ131112:GXZ131121 GOD131112:GOD131121 GEH131112:GEH131121 FUL131112:FUL131121 FKP131112:FKP131121 FAT131112:FAT131121 EQX131112:EQX131121 EHB131112:EHB131121 DXF131112:DXF131121 DNJ131112:DNJ131121 DDN131112:DDN131121 CTR131112:CTR131121 CJV131112:CJV131121 BZZ131112:BZZ131121 BQD131112:BQD131121 BGH131112:BGH131121 AWL131112:AWL131121 AMP131112:AMP131121 ACT131112:ACT131121 SX131112:SX131121 JB131112:JB131121 F131112:F131121 WVN65576:WVN65585 WLR65576:WLR65585 WBV65576:WBV65585 VRZ65576:VRZ65585 VID65576:VID65585 UYH65576:UYH65585 UOL65576:UOL65585 UEP65576:UEP65585 TUT65576:TUT65585 TKX65576:TKX65585 TBB65576:TBB65585 SRF65576:SRF65585 SHJ65576:SHJ65585 RXN65576:RXN65585 RNR65576:RNR65585 RDV65576:RDV65585 QTZ65576:QTZ65585 QKD65576:QKD65585 QAH65576:QAH65585 PQL65576:PQL65585 PGP65576:PGP65585 OWT65576:OWT65585 OMX65576:OMX65585 ODB65576:ODB65585 NTF65576:NTF65585 NJJ65576:NJJ65585 MZN65576:MZN65585 MPR65576:MPR65585 MFV65576:MFV65585 LVZ65576:LVZ65585 LMD65576:LMD65585 LCH65576:LCH65585 KSL65576:KSL65585 KIP65576:KIP65585 JYT65576:JYT65585 JOX65576:JOX65585 JFB65576:JFB65585 IVF65576:IVF65585 ILJ65576:ILJ65585 IBN65576:IBN65585 HRR65576:HRR65585 HHV65576:HHV65585 GXZ65576:GXZ65585 GOD65576:GOD65585 GEH65576:GEH65585 FUL65576:FUL65585 FKP65576:FKP65585 FAT65576:FAT65585 EQX65576:EQX65585 EHB65576:EHB65585 DXF65576:DXF65585 DNJ65576:DNJ65585 DDN65576:DDN65585 CTR65576:CTR65585 CJV65576:CJV65585 BZZ65576:BZZ65585 BQD65576:BQD65585 BGH65576:BGH65585 AWL65576:AWL65585 AMP65576:AMP65585 ACT65576:ACT65585 SX65576:SX65585 JB65576:JB65585 F65576:F65585 WVN40:WVN49 WLR40:WLR49 WBV40:WBV49 VRZ40:VRZ49 VID40:VID49 UYH40:UYH49 UOL40:UOL49 UEP40:UEP49 TUT40:TUT49 TKX40:TKX49 TBB40:TBB49 SRF40:SRF49 SHJ40:SHJ49 RXN40:RXN49 RNR40:RNR49 RDV40:RDV49 QTZ40:QTZ49 QKD40:QKD49 QAH40:QAH49 PQL40:PQL49 PGP40:PGP49 OWT40:OWT49 OMX40:OMX49 ODB40:ODB49 NTF40:NTF49 NJJ40:NJJ49 MZN40:MZN49 MPR40:MPR49 MFV40:MFV49 LVZ40:LVZ49 LMD40:LMD49 LCH40:LCH49 KSL40:KSL49 KIP40:KIP49 JYT40:JYT49 JOX40:JOX49 JFB40:JFB49 IVF40:IVF49 ILJ40:ILJ49 IBN40:IBN49 HRR40:HRR49 HHV40:HHV49 GXZ40:GXZ49 GOD40:GOD49 GEH40:GEH49 FUL40:FUL49 FKP40:FKP49 FAT40:FAT49 EQX40:EQX49 EHB40:EHB49 DXF40:DXF49 DNJ40:DNJ49 DDN40:DDN49 CTR40:CTR49 CJV40:CJV49 BZZ40:BZZ49 BQD40:BQD49 BGH40:BGH49 AWL40:AWL49 AMP40:AMP49 ACT40:ACT49 SX40:SX49 JB40:JB49">
      <formula1>EffortType</formula1>
    </dataValidation>
    <dataValidation type="list" allowBlank="1" showInputMessage="1" showErrorMessage="1" sqref="WBU983101:WBU983102 VRY983101:VRY983102 VIC983101:VIC983102 UYG983101:UYG983102 UOK983101:UOK983102 UEO983101:UEO983102 TUS983101:TUS983102 TKW983101:TKW983102 TBA983101:TBA983102 SRE983101:SRE983102 SHI983101:SHI983102 RXM983101:RXM983102 RNQ983101:RNQ983102 RDU983101:RDU983102 QTY983101:QTY983102 QKC983101:QKC983102 QAG983101:QAG983102 PQK983101:PQK983102 PGO983101:PGO983102 OWS983101:OWS983102 OMW983101:OMW983102 ODA983101:ODA983102 NTE983101:NTE983102 NJI983101:NJI983102 MZM983101:MZM983102 MPQ983101:MPQ983102 MFU983101:MFU983102 LVY983101:LVY983102 LMC983101:LMC983102 LCG983101:LCG983102 KSK983101:KSK983102 KIO983101:KIO983102 JYS983101:JYS983102 JOW983101:JOW983102 JFA983101:JFA983102 IVE983101:IVE983102 ILI983101:ILI983102 IBM983101:IBM983102 HRQ983101:HRQ983102 HHU983101:HHU983102 GXY983101:GXY983102 GOC983101:GOC983102 GEG983101:GEG983102 FUK983101:FUK983102 FKO983101:FKO983102 FAS983101:FAS983102 EQW983101:EQW983102 EHA983101:EHA983102 DXE983101:DXE983102 DNI983101:DNI983102 DDM983101:DDM983102 CTQ983101:CTQ983102 CJU983101:CJU983102 BZY983101:BZY983102 BQC983101:BQC983102 BGG983101:BGG983102 AWK983101:AWK983102 AMO983101:AMO983102 ACS983101:ACS983102 SW983101:SW983102 JA983101:JA983102 E983101:E983102 WVM917565:WVM917566 WLQ917565:WLQ917566 WBU917565:WBU917566 VRY917565:VRY917566 VIC917565:VIC917566 UYG917565:UYG917566 UOK917565:UOK917566 UEO917565:UEO917566 TUS917565:TUS917566 TKW917565:TKW917566 TBA917565:TBA917566 SRE917565:SRE917566 SHI917565:SHI917566 RXM917565:RXM917566 RNQ917565:RNQ917566 RDU917565:RDU917566 QTY917565:QTY917566 QKC917565:QKC917566 QAG917565:QAG917566 PQK917565:PQK917566 PGO917565:PGO917566 OWS917565:OWS917566 OMW917565:OMW917566 ODA917565:ODA917566 NTE917565:NTE917566 NJI917565:NJI917566 MZM917565:MZM917566 MPQ917565:MPQ917566 MFU917565:MFU917566 LVY917565:LVY917566 LMC917565:LMC917566 LCG917565:LCG917566 KSK917565:KSK917566 KIO917565:KIO917566 JYS917565:JYS917566 JOW917565:JOW917566 JFA917565:JFA917566 IVE917565:IVE917566 ILI917565:ILI917566 IBM917565:IBM917566 HRQ917565:HRQ917566 HHU917565:HHU917566 GXY917565:GXY917566 GOC917565:GOC917566 GEG917565:GEG917566 FUK917565:FUK917566 FKO917565:FKO917566 FAS917565:FAS917566 EQW917565:EQW917566 EHA917565:EHA917566 DXE917565:DXE917566 DNI917565:DNI917566 DDM917565:DDM917566 CTQ917565:CTQ917566 CJU917565:CJU917566 BZY917565:BZY917566 BQC917565:BQC917566 BGG917565:BGG917566 AWK917565:AWK917566 AMO917565:AMO917566 ACS917565:ACS917566 SW917565:SW917566 JA917565:JA917566 E917565:E917566 WVM852029:WVM852030 WLQ852029:WLQ852030 WBU852029:WBU852030 VRY852029:VRY852030 VIC852029:VIC852030 UYG852029:UYG852030 UOK852029:UOK852030 UEO852029:UEO852030 TUS852029:TUS852030 TKW852029:TKW852030 TBA852029:TBA852030 SRE852029:SRE852030 SHI852029:SHI852030 RXM852029:RXM852030 RNQ852029:RNQ852030 RDU852029:RDU852030 QTY852029:QTY852030 QKC852029:QKC852030 QAG852029:QAG852030 PQK852029:PQK852030 PGO852029:PGO852030 OWS852029:OWS852030 OMW852029:OMW852030 ODA852029:ODA852030 NTE852029:NTE852030 NJI852029:NJI852030 MZM852029:MZM852030 MPQ852029:MPQ852030 MFU852029:MFU852030 LVY852029:LVY852030 LMC852029:LMC852030 LCG852029:LCG852030 KSK852029:KSK852030 KIO852029:KIO852030 JYS852029:JYS852030 JOW852029:JOW852030 JFA852029:JFA852030 IVE852029:IVE852030 ILI852029:ILI852030 IBM852029:IBM852030 HRQ852029:HRQ852030 HHU852029:HHU852030 GXY852029:GXY852030 GOC852029:GOC852030 GEG852029:GEG852030 FUK852029:FUK852030 FKO852029:FKO852030 FAS852029:FAS852030 EQW852029:EQW852030 EHA852029:EHA852030 DXE852029:DXE852030 DNI852029:DNI852030 DDM852029:DDM852030 CTQ852029:CTQ852030 CJU852029:CJU852030 BZY852029:BZY852030 BQC852029:BQC852030 BGG852029:BGG852030 AWK852029:AWK852030 AMO852029:AMO852030 ACS852029:ACS852030 SW852029:SW852030 JA852029:JA852030 E852029:E852030 WVM786493:WVM786494 WLQ786493:WLQ786494 WBU786493:WBU786494 VRY786493:VRY786494 VIC786493:VIC786494 UYG786493:UYG786494 UOK786493:UOK786494 UEO786493:UEO786494 TUS786493:TUS786494 TKW786493:TKW786494 TBA786493:TBA786494 SRE786493:SRE786494 SHI786493:SHI786494 RXM786493:RXM786494 RNQ786493:RNQ786494 RDU786493:RDU786494 QTY786493:QTY786494 QKC786493:QKC786494 QAG786493:QAG786494 PQK786493:PQK786494 PGO786493:PGO786494 OWS786493:OWS786494 OMW786493:OMW786494 ODA786493:ODA786494 NTE786493:NTE786494 NJI786493:NJI786494 MZM786493:MZM786494 MPQ786493:MPQ786494 MFU786493:MFU786494 LVY786493:LVY786494 LMC786493:LMC786494 LCG786493:LCG786494 KSK786493:KSK786494 KIO786493:KIO786494 JYS786493:JYS786494 JOW786493:JOW786494 JFA786493:JFA786494 IVE786493:IVE786494 ILI786493:ILI786494 IBM786493:IBM786494 HRQ786493:HRQ786494 HHU786493:HHU786494 GXY786493:GXY786494 GOC786493:GOC786494 GEG786493:GEG786494 FUK786493:FUK786494 FKO786493:FKO786494 FAS786493:FAS786494 EQW786493:EQW786494 EHA786493:EHA786494 DXE786493:DXE786494 DNI786493:DNI786494 DDM786493:DDM786494 CTQ786493:CTQ786494 CJU786493:CJU786494 BZY786493:BZY786494 BQC786493:BQC786494 BGG786493:BGG786494 AWK786493:AWK786494 AMO786493:AMO786494 ACS786493:ACS786494 SW786493:SW786494 JA786493:JA786494 E786493:E786494 WVM720957:WVM720958 WLQ720957:WLQ720958 WBU720957:WBU720958 VRY720957:VRY720958 VIC720957:VIC720958 UYG720957:UYG720958 UOK720957:UOK720958 UEO720957:UEO720958 TUS720957:TUS720958 TKW720957:TKW720958 TBA720957:TBA720958 SRE720957:SRE720958 SHI720957:SHI720958 RXM720957:RXM720958 RNQ720957:RNQ720958 RDU720957:RDU720958 QTY720957:QTY720958 QKC720957:QKC720958 QAG720957:QAG720958 PQK720957:PQK720958 PGO720957:PGO720958 OWS720957:OWS720958 OMW720957:OMW720958 ODA720957:ODA720958 NTE720957:NTE720958 NJI720957:NJI720958 MZM720957:MZM720958 MPQ720957:MPQ720958 MFU720957:MFU720958 LVY720957:LVY720958 LMC720957:LMC720958 LCG720957:LCG720958 KSK720957:KSK720958 KIO720957:KIO720958 JYS720957:JYS720958 JOW720957:JOW720958 JFA720957:JFA720958 IVE720957:IVE720958 ILI720957:ILI720958 IBM720957:IBM720958 HRQ720957:HRQ720958 HHU720957:HHU720958 GXY720957:GXY720958 GOC720957:GOC720958 GEG720957:GEG720958 FUK720957:FUK720958 FKO720957:FKO720958 FAS720957:FAS720958 EQW720957:EQW720958 EHA720957:EHA720958 DXE720957:DXE720958 DNI720957:DNI720958 DDM720957:DDM720958 CTQ720957:CTQ720958 CJU720957:CJU720958 BZY720957:BZY720958 BQC720957:BQC720958 BGG720957:BGG720958 AWK720957:AWK720958 AMO720957:AMO720958 ACS720957:ACS720958 SW720957:SW720958 JA720957:JA720958 E720957:E720958 WVM655421:WVM655422 WLQ655421:WLQ655422 WBU655421:WBU655422 VRY655421:VRY655422 VIC655421:VIC655422 UYG655421:UYG655422 UOK655421:UOK655422 UEO655421:UEO655422 TUS655421:TUS655422 TKW655421:TKW655422 TBA655421:TBA655422 SRE655421:SRE655422 SHI655421:SHI655422 RXM655421:RXM655422 RNQ655421:RNQ655422 RDU655421:RDU655422 QTY655421:QTY655422 QKC655421:QKC655422 QAG655421:QAG655422 PQK655421:PQK655422 PGO655421:PGO655422 OWS655421:OWS655422 OMW655421:OMW655422 ODA655421:ODA655422 NTE655421:NTE655422 NJI655421:NJI655422 MZM655421:MZM655422 MPQ655421:MPQ655422 MFU655421:MFU655422 LVY655421:LVY655422 LMC655421:LMC655422 LCG655421:LCG655422 KSK655421:KSK655422 KIO655421:KIO655422 JYS655421:JYS655422 JOW655421:JOW655422 JFA655421:JFA655422 IVE655421:IVE655422 ILI655421:ILI655422 IBM655421:IBM655422 HRQ655421:HRQ655422 HHU655421:HHU655422 GXY655421:GXY655422 GOC655421:GOC655422 GEG655421:GEG655422 FUK655421:FUK655422 FKO655421:FKO655422 FAS655421:FAS655422 EQW655421:EQW655422 EHA655421:EHA655422 DXE655421:DXE655422 DNI655421:DNI655422 DDM655421:DDM655422 CTQ655421:CTQ655422 CJU655421:CJU655422 BZY655421:BZY655422 BQC655421:BQC655422 BGG655421:BGG655422 AWK655421:AWK655422 AMO655421:AMO655422 ACS655421:ACS655422 SW655421:SW655422 JA655421:JA655422 E655421:E655422 WVM589885:WVM589886 WLQ589885:WLQ589886 WBU589885:WBU589886 VRY589885:VRY589886 VIC589885:VIC589886 UYG589885:UYG589886 UOK589885:UOK589886 UEO589885:UEO589886 TUS589885:TUS589886 TKW589885:TKW589886 TBA589885:TBA589886 SRE589885:SRE589886 SHI589885:SHI589886 RXM589885:RXM589886 RNQ589885:RNQ589886 RDU589885:RDU589886 QTY589885:QTY589886 QKC589885:QKC589886 QAG589885:QAG589886 PQK589885:PQK589886 PGO589885:PGO589886 OWS589885:OWS589886 OMW589885:OMW589886 ODA589885:ODA589886 NTE589885:NTE589886 NJI589885:NJI589886 MZM589885:MZM589886 MPQ589885:MPQ589886 MFU589885:MFU589886 LVY589885:LVY589886 LMC589885:LMC589886 LCG589885:LCG589886 KSK589885:KSK589886 KIO589885:KIO589886 JYS589885:JYS589886 JOW589885:JOW589886 JFA589885:JFA589886 IVE589885:IVE589886 ILI589885:ILI589886 IBM589885:IBM589886 HRQ589885:HRQ589886 HHU589885:HHU589886 GXY589885:GXY589886 GOC589885:GOC589886 GEG589885:GEG589886 FUK589885:FUK589886 FKO589885:FKO589886 FAS589885:FAS589886 EQW589885:EQW589886 EHA589885:EHA589886 DXE589885:DXE589886 DNI589885:DNI589886 DDM589885:DDM589886 CTQ589885:CTQ589886 CJU589885:CJU589886 BZY589885:BZY589886 BQC589885:BQC589886 BGG589885:BGG589886 AWK589885:AWK589886 AMO589885:AMO589886 ACS589885:ACS589886 SW589885:SW589886 JA589885:JA589886 E589885:E589886 WVM524349:WVM524350 WLQ524349:WLQ524350 WBU524349:WBU524350 VRY524349:VRY524350 VIC524349:VIC524350 UYG524349:UYG524350 UOK524349:UOK524350 UEO524349:UEO524350 TUS524349:TUS524350 TKW524349:TKW524350 TBA524349:TBA524350 SRE524349:SRE524350 SHI524349:SHI524350 RXM524349:RXM524350 RNQ524349:RNQ524350 RDU524349:RDU524350 QTY524349:QTY524350 QKC524349:QKC524350 QAG524349:QAG524350 PQK524349:PQK524350 PGO524349:PGO524350 OWS524349:OWS524350 OMW524349:OMW524350 ODA524349:ODA524350 NTE524349:NTE524350 NJI524349:NJI524350 MZM524349:MZM524350 MPQ524349:MPQ524350 MFU524349:MFU524350 LVY524349:LVY524350 LMC524349:LMC524350 LCG524349:LCG524350 KSK524349:KSK524350 KIO524349:KIO524350 JYS524349:JYS524350 JOW524349:JOW524350 JFA524349:JFA524350 IVE524349:IVE524350 ILI524349:ILI524350 IBM524349:IBM524350 HRQ524349:HRQ524350 HHU524349:HHU524350 GXY524349:GXY524350 GOC524349:GOC524350 GEG524349:GEG524350 FUK524349:FUK524350 FKO524349:FKO524350 FAS524349:FAS524350 EQW524349:EQW524350 EHA524349:EHA524350 DXE524349:DXE524350 DNI524349:DNI524350 DDM524349:DDM524350 CTQ524349:CTQ524350 CJU524349:CJU524350 BZY524349:BZY524350 BQC524349:BQC524350 BGG524349:BGG524350 AWK524349:AWK524350 AMO524349:AMO524350 ACS524349:ACS524350 SW524349:SW524350 JA524349:JA524350 E524349:E524350 WVM458813:WVM458814 WLQ458813:WLQ458814 WBU458813:WBU458814 VRY458813:VRY458814 VIC458813:VIC458814 UYG458813:UYG458814 UOK458813:UOK458814 UEO458813:UEO458814 TUS458813:TUS458814 TKW458813:TKW458814 TBA458813:TBA458814 SRE458813:SRE458814 SHI458813:SHI458814 RXM458813:RXM458814 RNQ458813:RNQ458814 RDU458813:RDU458814 QTY458813:QTY458814 QKC458813:QKC458814 QAG458813:QAG458814 PQK458813:PQK458814 PGO458813:PGO458814 OWS458813:OWS458814 OMW458813:OMW458814 ODA458813:ODA458814 NTE458813:NTE458814 NJI458813:NJI458814 MZM458813:MZM458814 MPQ458813:MPQ458814 MFU458813:MFU458814 LVY458813:LVY458814 LMC458813:LMC458814 LCG458813:LCG458814 KSK458813:KSK458814 KIO458813:KIO458814 JYS458813:JYS458814 JOW458813:JOW458814 JFA458813:JFA458814 IVE458813:IVE458814 ILI458813:ILI458814 IBM458813:IBM458814 HRQ458813:HRQ458814 HHU458813:HHU458814 GXY458813:GXY458814 GOC458813:GOC458814 GEG458813:GEG458814 FUK458813:FUK458814 FKO458813:FKO458814 FAS458813:FAS458814 EQW458813:EQW458814 EHA458813:EHA458814 DXE458813:DXE458814 DNI458813:DNI458814 DDM458813:DDM458814 CTQ458813:CTQ458814 CJU458813:CJU458814 BZY458813:BZY458814 BQC458813:BQC458814 BGG458813:BGG458814 AWK458813:AWK458814 AMO458813:AMO458814 ACS458813:ACS458814 SW458813:SW458814 JA458813:JA458814 E458813:E458814 WVM393277:WVM393278 WLQ393277:WLQ393278 WBU393277:WBU393278 VRY393277:VRY393278 VIC393277:VIC393278 UYG393277:UYG393278 UOK393277:UOK393278 UEO393277:UEO393278 TUS393277:TUS393278 TKW393277:TKW393278 TBA393277:TBA393278 SRE393277:SRE393278 SHI393277:SHI393278 RXM393277:RXM393278 RNQ393277:RNQ393278 RDU393277:RDU393278 QTY393277:QTY393278 QKC393277:QKC393278 QAG393277:QAG393278 PQK393277:PQK393278 PGO393277:PGO393278 OWS393277:OWS393278 OMW393277:OMW393278 ODA393277:ODA393278 NTE393277:NTE393278 NJI393277:NJI393278 MZM393277:MZM393278 MPQ393277:MPQ393278 MFU393277:MFU393278 LVY393277:LVY393278 LMC393277:LMC393278 LCG393277:LCG393278 KSK393277:KSK393278 KIO393277:KIO393278 JYS393277:JYS393278 JOW393277:JOW393278 JFA393277:JFA393278 IVE393277:IVE393278 ILI393277:ILI393278 IBM393277:IBM393278 HRQ393277:HRQ393278 HHU393277:HHU393278 GXY393277:GXY393278 GOC393277:GOC393278 GEG393277:GEG393278 FUK393277:FUK393278 FKO393277:FKO393278 FAS393277:FAS393278 EQW393277:EQW393278 EHA393277:EHA393278 DXE393277:DXE393278 DNI393277:DNI393278 DDM393277:DDM393278 CTQ393277:CTQ393278 CJU393277:CJU393278 BZY393277:BZY393278 BQC393277:BQC393278 BGG393277:BGG393278 AWK393277:AWK393278 AMO393277:AMO393278 ACS393277:ACS393278 SW393277:SW393278 JA393277:JA393278 E393277:E393278 WVM327741:WVM327742 WLQ327741:WLQ327742 WBU327741:WBU327742 VRY327741:VRY327742 VIC327741:VIC327742 UYG327741:UYG327742 UOK327741:UOK327742 UEO327741:UEO327742 TUS327741:TUS327742 TKW327741:TKW327742 TBA327741:TBA327742 SRE327741:SRE327742 SHI327741:SHI327742 RXM327741:RXM327742 RNQ327741:RNQ327742 RDU327741:RDU327742 QTY327741:QTY327742 QKC327741:QKC327742 QAG327741:QAG327742 PQK327741:PQK327742 PGO327741:PGO327742 OWS327741:OWS327742 OMW327741:OMW327742 ODA327741:ODA327742 NTE327741:NTE327742 NJI327741:NJI327742 MZM327741:MZM327742 MPQ327741:MPQ327742 MFU327741:MFU327742 LVY327741:LVY327742 LMC327741:LMC327742 LCG327741:LCG327742 KSK327741:KSK327742 KIO327741:KIO327742 JYS327741:JYS327742 JOW327741:JOW327742 JFA327741:JFA327742 IVE327741:IVE327742 ILI327741:ILI327742 IBM327741:IBM327742 HRQ327741:HRQ327742 HHU327741:HHU327742 GXY327741:GXY327742 GOC327741:GOC327742 GEG327741:GEG327742 FUK327741:FUK327742 FKO327741:FKO327742 FAS327741:FAS327742 EQW327741:EQW327742 EHA327741:EHA327742 DXE327741:DXE327742 DNI327741:DNI327742 DDM327741:DDM327742 CTQ327741:CTQ327742 CJU327741:CJU327742 BZY327741:BZY327742 BQC327741:BQC327742 BGG327741:BGG327742 AWK327741:AWK327742 AMO327741:AMO327742 ACS327741:ACS327742 SW327741:SW327742 JA327741:JA327742 E327741:E327742 WVM262205:WVM262206 WLQ262205:WLQ262206 WBU262205:WBU262206 VRY262205:VRY262206 VIC262205:VIC262206 UYG262205:UYG262206 UOK262205:UOK262206 UEO262205:UEO262206 TUS262205:TUS262206 TKW262205:TKW262206 TBA262205:TBA262206 SRE262205:SRE262206 SHI262205:SHI262206 RXM262205:RXM262206 RNQ262205:RNQ262206 RDU262205:RDU262206 QTY262205:QTY262206 QKC262205:QKC262206 QAG262205:QAG262206 PQK262205:PQK262206 PGO262205:PGO262206 OWS262205:OWS262206 OMW262205:OMW262206 ODA262205:ODA262206 NTE262205:NTE262206 NJI262205:NJI262206 MZM262205:MZM262206 MPQ262205:MPQ262206 MFU262205:MFU262206 LVY262205:LVY262206 LMC262205:LMC262206 LCG262205:LCG262206 KSK262205:KSK262206 KIO262205:KIO262206 JYS262205:JYS262206 JOW262205:JOW262206 JFA262205:JFA262206 IVE262205:IVE262206 ILI262205:ILI262206 IBM262205:IBM262206 HRQ262205:HRQ262206 HHU262205:HHU262206 GXY262205:GXY262206 GOC262205:GOC262206 GEG262205:GEG262206 FUK262205:FUK262206 FKO262205:FKO262206 FAS262205:FAS262206 EQW262205:EQW262206 EHA262205:EHA262206 DXE262205:DXE262206 DNI262205:DNI262206 DDM262205:DDM262206 CTQ262205:CTQ262206 CJU262205:CJU262206 BZY262205:BZY262206 BQC262205:BQC262206 BGG262205:BGG262206 AWK262205:AWK262206 AMO262205:AMO262206 ACS262205:ACS262206 SW262205:SW262206 JA262205:JA262206 E262205:E262206 WVM196669:WVM196670 WLQ196669:WLQ196670 WBU196669:WBU196670 VRY196669:VRY196670 VIC196669:VIC196670 UYG196669:UYG196670 UOK196669:UOK196670 UEO196669:UEO196670 TUS196669:TUS196670 TKW196669:TKW196670 TBA196669:TBA196670 SRE196669:SRE196670 SHI196669:SHI196670 RXM196669:RXM196670 RNQ196669:RNQ196670 RDU196669:RDU196670 QTY196669:QTY196670 QKC196669:QKC196670 QAG196669:QAG196670 PQK196669:PQK196670 PGO196669:PGO196670 OWS196669:OWS196670 OMW196669:OMW196670 ODA196669:ODA196670 NTE196669:NTE196670 NJI196669:NJI196670 MZM196669:MZM196670 MPQ196669:MPQ196670 MFU196669:MFU196670 LVY196669:LVY196670 LMC196669:LMC196670 LCG196669:LCG196670 KSK196669:KSK196670 KIO196669:KIO196670 JYS196669:JYS196670 JOW196669:JOW196670 JFA196669:JFA196670 IVE196669:IVE196670 ILI196669:ILI196670 IBM196669:IBM196670 HRQ196669:HRQ196670 HHU196669:HHU196670 GXY196669:GXY196670 GOC196669:GOC196670 GEG196669:GEG196670 FUK196669:FUK196670 FKO196669:FKO196670 FAS196669:FAS196670 EQW196669:EQW196670 EHA196669:EHA196670 DXE196669:DXE196670 DNI196669:DNI196670 DDM196669:DDM196670 CTQ196669:CTQ196670 CJU196669:CJU196670 BZY196669:BZY196670 BQC196669:BQC196670 BGG196669:BGG196670 AWK196669:AWK196670 AMO196669:AMO196670 ACS196669:ACS196670 SW196669:SW196670 JA196669:JA196670 E196669:E196670 WVM131133:WVM131134 WLQ131133:WLQ131134 WBU131133:WBU131134 VRY131133:VRY131134 VIC131133:VIC131134 UYG131133:UYG131134 UOK131133:UOK131134 UEO131133:UEO131134 TUS131133:TUS131134 TKW131133:TKW131134 TBA131133:TBA131134 SRE131133:SRE131134 SHI131133:SHI131134 RXM131133:RXM131134 RNQ131133:RNQ131134 RDU131133:RDU131134 QTY131133:QTY131134 QKC131133:QKC131134 QAG131133:QAG131134 PQK131133:PQK131134 PGO131133:PGO131134 OWS131133:OWS131134 OMW131133:OMW131134 ODA131133:ODA131134 NTE131133:NTE131134 NJI131133:NJI131134 MZM131133:MZM131134 MPQ131133:MPQ131134 MFU131133:MFU131134 LVY131133:LVY131134 LMC131133:LMC131134 LCG131133:LCG131134 KSK131133:KSK131134 KIO131133:KIO131134 JYS131133:JYS131134 JOW131133:JOW131134 JFA131133:JFA131134 IVE131133:IVE131134 ILI131133:ILI131134 IBM131133:IBM131134 HRQ131133:HRQ131134 HHU131133:HHU131134 GXY131133:GXY131134 GOC131133:GOC131134 GEG131133:GEG131134 FUK131133:FUK131134 FKO131133:FKO131134 FAS131133:FAS131134 EQW131133:EQW131134 EHA131133:EHA131134 DXE131133:DXE131134 DNI131133:DNI131134 DDM131133:DDM131134 CTQ131133:CTQ131134 CJU131133:CJU131134 BZY131133:BZY131134 BQC131133:BQC131134 BGG131133:BGG131134 AWK131133:AWK131134 AMO131133:AMO131134 ACS131133:ACS131134 SW131133:SW131134 JA131133:JA131134 E131133:E131134 WVM65597:WVM65598 WLQ65597:WLQ65598 WBU65597:WBU65598 VRY65597:VRY65598 VIC65597:VIC65598 UYG65597:UYG65598 UOK65597:UOK65598 UEO65597:UEO65598 TUS65597:TUS65598 TKW65597:TKW65598 TBA65597:TBA65598 SRE65597:SRE65598 SHI65597:SHI65598 RXM65597:RXM65598 RNQ65597:RNQ65598 RDU65597:RDU65598 QTY65597:QTY65598 QKC65597:QKC65598 QAG65597:QAG65598 PQK65597:PQK65598 PGO65597:PGO65598 OWS65597:OWS65598 OMW65597:OMW65598 ODA65597:ODA65598 NTE65597:NTE65598 NJI65597:NJI65598 MZM65597:MZM65598 MPQ65597:MPQ65598 MFU65597:MFU65598 LVY65597:LVY65598 LMC65597:LMC65598 LCG65597:LCG65598 KSK65597:KSK65598 KIO65597:KIO65598 JYS65597:JYS65598 JOW65597:JOW65598 JFA65597:JFA65598 IVE65597:IVE65598 ILI65597:ILI65598 IBM65597:IBM65598 HRQ65597:HRQ65598 HHU65597:HHU65598 GXY65597:GXY65598 GOC65597:GOC65598 GEG65597:GEG65598 FUK65597:FUK65598 FKO65597:FKO65598 FAS65597:FAS65598 EQW65597:EQW65598 EHA65597:EHA65598 DXE65597:DXE65598 DNI65597:DNI65598 DDM65597:DDM65598 CTQ65597:CTQ65598 CJU65597:CJU65598 BZY65597:BZY65598 BQC65597:BQC65598 BGG65597:BGG65598 AWK65597:AWK65598 AMO65597:AMO65598 ACS65597:ACS65598 SW65597:SW65598 JA65597:JA65598 E65597:E65598 WVM61:WVM62 WLQ61:WLQ62 WBU61:WBU62 VRY61:VRY62 VIC61:VIC62 UYG61:UYG62 UOK61:UOK62 UEO61:UEO62 TUS61:TUS62 TKW61:TKW62 TBA61:TBA62 SRE61:SRE62 SHI61:SHI62 RXM61:RXM62 RNQ61:RNQ62 RDU61:RDU62 QTY61:QTY62 QKC61:QKC62 QAG61:QAG62 PQK61:PQK62 PGO61:PGO62 OWS61:OWS62 OMW61:OMW62 ODA61:ODA62 NTE61:NTE62 NJI61:NJI62 MZM61:MZM62 MPQ61:MPQ62 MFU61:MFU62 LVY61:LVY62 LMC61:LMC62 LCG61:LCG62 KSK61:KSK62 KIO61:KIO62 JYS61:JYS62 JOW61:JOW62 JFA61:JFA62 IVE61:IVE62 ILI61:ILI62 IBM61:IBM62 HRQ61:HRQ62 HHU61:HHU62 GXY61:GXY62 GOC61:GOC62 GEG61:GEG62 FUK61:FUK62 FKO61:FKO62 FAS61:FAS62 EQW61:EQW62 EHA61:EHA62 DXE61:DXE62 DNI61:DNI62 DDM61:DDM62 CTQ61:CTQ62 CJU61:CJU62 BZY61:BZY62 BQC61:BQC62 BGG61:BGG62 AWK61:AWK62 AMO61:AMO62 ACS61:ACS62 SW61:SW62 JA61:JA62 WVM983101:WVM983102 WVM983099 WLQ983099 WBU983099 VRY983099 VIC983099 UYG983099 UOK983099 UEO983099 TUS983099 TKW983099 TBA983099 SRE983099 SHI983099 RXM983099 RNQ983099 RDU983099 QTY983099 QKC983099 QAG983099 PQK983099 PGO983099 OWS983099 OMW983099 ODA983099 NTE983099 NJI983099 MZM983099 MPQ983099 MFU983099 LVY983099 LMC983099 LCG983099 KSK983099 KIO983099 JYS983099 JOW983099 JFA983099 IVE983099 ILI983099 IBM983099 HRQ983099 HHU983099 GXY983099 GOC983099 GEG983099 FUK983099 FKO983099 FAS983099 EQW983099 EHA983099 DXE983099 DNI983099 DDM983099 CTQ983099 CJU983099 BZY983099 BQC983099 BGG983099 AWK983099 AMO983099 ACS983099 SW983099 JA983099 E983099 WVM917563 WLQ917563 WBU917563 VRY917563 VIC917563 UYG917563 UOK917563 UEO917563 TUS917563 TKW917563 TBA917563 SRE917563 SHI917563 RXM917563 RNQ917563 RDU917563 QTY917563 QKC917563 QAG917563 PQK917563 PGO917563 OWS917563 OMW917563 ODA917563 NTE917563 NJI917563 MZM917563 MPQ917563 MFU917563 LVY917563 LMC917563 LCG917563 KSK917563 KIO917563 JYS917563 JOW917563 JFA917563 IVE917563 ILI917563 IBM917563 HRQ917563 HHU917563 GXY917563 GOC917563 GEG917563 FUK917563 FKO917563 FAS917563 EQW917563 EHA917563 DXE917563 DNI917563 DDM917563 CTQ917563 CJU917563 BZY917563 BQC917563 BGG917563 AWK917563 AMO917563 ACS917563 SW917563 JA917563 E917563 WVM852027 WLQ852027 WBU852027 VRY852027 VIC852027 UYG852027 UOK852027 UEO852027 TUS852027 TKW852027 TBA852027 SRE852027 SHI852027 RXM852027 RNQ852027 RDU852027 QTY852027 QKC852027 QAG852027 PQK852027 PGO852027 OWS852027 OMW852027 ODA852027 NTE852027 NJI852027 MZM852027 MPQ852027 MFU852027 LVY852027 LMC852027 LCG852027 KSK852027 KIO852027 JYS852027 JOW852027 JFA852027 IVE852027 ILI852027 IBM852027 HRQ852027 HHU852027 GXY852027 GOC852027 GEG852027 FUK852027 FKO852027 FAS852027 EQW852027 EHA852027 DXE852027 DNI852027 DDM852027 CTQ852027 CJU852027 BZY852027 BQC852027 BGG852027 AWK852027 AMO852027 ACS852027 SW852027 JA852027 E852027 WVM786491 WLQ786491 WBU786491 VRY786491 VIC786491 UYG786491 UOK786491 UEO786491 TUS786491 TKW786491 TBA786491 SRE786491 SHI786491 RXM786491 RNQ786491 RDU786491 QTY786491 QKC786491 QAG786491 PQK786491 PGO786491 OWS786491 OMW786491 ODA786491 NTE786491 NJI786491 MZM786491 MPQ786491 MFU786491 LVY786491 LMC786491 LCG786491 KSK786491 KIO786491 JYS786491 JOW786491 JFA786491 IVE786491 ILI786491 IBM786491 HRQ786491 HHU786491 GXY786491 GOC786491 GEG786491 FUK786491 FKO786491 FAS786491 EQW786491 EHA786491 DXE786491 DNI786491 DDM786491 CTQ786491 CJU786491 BZY786491 BQC786491 BGG786491 AWK786491 AMO786491 ACS786491 SW786491 JA786491 E786491 WVM720955 WLQ720955 WBU720955 VRY720955 VIC720955 UYG720955 UOK720955 UEO720955 TUS720955 TKW720955 TBA720955 SRE720955 SHI720955 RXM720955 RNQ720955 RDU720955 QTY720955 QKC720955 QAG720955 PQK720955 PGO720955 OWS720955 OMW720955 ODA720955 NTE720955 NJI720955 MZM720955 MPQ720955 MFU720955 LVY720955 LMC720955 LCG720955 KSK720955 KIO720955 JYS720955 JOW720955 JFA720955 IVE720955 ILI720955 IBM720955 HRQ720955 HHU720955 GXY720955 GOC720955 GEG720955 FUK720955 FKO720955 FAS720955 EQW720955 EHA720955 DXE720955 DNI720955 DDM720955 CTQ720955 CJU720955 BZY720955 BQC720955 BGG720955 AWK720955 AMO720955 ACS720955 SW720955 JA720955 E720955 WVM655419 WLQ655419 WBU655419 VRY655419 VIC655419 UYG655419 UOK655419 UEO655419 TUS655419 TKW655419 TBA655419 SRE655419 SHI655419 RXM655419 RNQ655419 RDU655419 QTY655419 QKC655419 QAG655419 PQK655419 PGO655419 OWS655419 OMW655419 ODA655419 NTE655419 NJI655419 MZM655419 MPQ655419 MFU655419 LVY655419 LMC655419 LCG655419 KSK655419 KIO655419 JYS655419 JOW655419 JFA655419 IVE655419 ILI655419 IBM655419 HRQ655419 HHU655419 GXY655419 GOC655419 GEG655419 FUK655419 FKO655419 FAS655419 EQW655419 EHA655419 DXE655419 DNI655419 DDM655419 CTQ655419 CJU655419 BZY655419 BQC655419 BGG655419 AWK655419 AMO655419 ACS655419 SW655419 JA655419 E655419 WVM589883 WLQ589883 WBU589883 VRY589883 VIC589883 UYG589883 UOK589883 UEO589883 TUS589883 TKW589883 TBA589883 SRE589883 SHI589883 RXM589883 RNQ589883 RDU589883 QTY589883 QKC589883 QAG589883 PQK589883 PGO589883 OWS589883 OMW589883 ODA589883 NTE589883 NJI589883 MZM589883 MPQ589883 MFU589883 LVY589883 LMC589883 LCG589883 KSK589883 KIO589883 JYS589883 JOW589883 JFA589883 IVE589883 ILI589883 IBM589883 HRQ589883 HHU589883 GXY589883 GOC589883 GEG589883 FUK589883 FKO589883 FAS589883 EQW589883 EHA589883 DXE589883 DNI589883 DDM589883 CTQ589883 CJU589883 BZY589883 BQC589883 BGG589883 AWK589883 AMO589883 ACS589883 SW589883 JA589883 E589883 WVM524347 WLQ524347 WBU524347 VRY524347 VIC524347 UYG524347 UOK524347 UEO524347 TUS524347 TKW524347 TBA524347 SRE524347 SHI524347 RXM524347 RNQ524347 RDU524347 QTY524347 QKC524347 QAG524347 PQK524347 PGO524347 OWS524347 OMW524347 ODA524347 NTE524347 NJI524347 MZM524347 MPQ524347 MFU524347 LVY524347 LMC524347 LCG524347 KSK524347 KIO524347 JYS524347 JOW524347 JFA524347 IVE524347 ILI524347 IBM524347 HRQ524347 HHU524347 GXY524347 GOC524347 GEG524347 FUK524347 FKO524347 FAS524347 EQW524347 EHA524347 DXE524347 DNI524347 DDM524347 CTQ524347 CJU524347 BZY524347 BQC524347 BGG524347 AWK524347 AMO524347 ACS524347 SW524347 JA524347 E524347 WVM458811 WLQ458811 WBU458811 VRY458811 VIC458811 UYG458811 UOK458811 UEO458811 TUS458811 TKW458811 TBA458811 SRE458811 SHI458811 RXM458811 RNQ458811 RDU458811 QTY458811 QKC458811 QAG458811 PQK458811 PGO458811 OWS458811 OMW458811 ODA458811 NTE458811 NJI458811 MZM458811 MPQ458811 MFU458811 LVY458811 LMC458811 LCG458811 KSK458811 KIO458811 JYS458811 JOW458811 JFA458811 IVE458811 ILI458811 IBM458811 HRQ458811 HHU458811 GXY458811 GOC458811 GEG458811 FUK458811 FKO458811 FAS458811 EQW458811 EHA458811 DXE458811 DNI458811 DDM458811 CTQ458811 CJU458811 BZY458811 BQC458811 BGG458811 AWK458811 AMO458811 ACS458811 SW458811 JA458811 E458811 WVM393275 WLQ393275 WBU393275 VRY393275 VIC393275 UYG393275 UOK393275 UEO393275 TUS393275 TKW393275 TBA393275 SRE393275 SHI393275 RXM393275 RNQ393275 RDU393275 QTY393275 QKC393275 QAG393275 PQK393275 PGO393275 OWS393275 OMW393275 ODA393275 NTE393275 NJI393275 MZM393275 MPQ393275 MFU393275 LVY393275 LMC393275 LCG393275 KSK393275 KIO393275 JYS393275 JOW393275 JFA393275 IVE393275 ILI393275 IBM393275 HRQ393275 HHU393275 GXY393275 GOC393275 GEG393275 FUK393275 FKO393275 FAS393275 EQW393275 EHA393275 DXE393275 DNI393275 DDM393275 CTQ393275 CJU393275 BZY393275 BQC393275 BGG393275 AWK393275 AMO393275 ACS393275 SW393275 JA393275 E393275 WVM327739 WLQ327739 WBU327739 VRY327739 VIC327739 UYG327739 UOK327739 UEO327739 TUS327739 TKW327739 TBA327739 SRE327739 SHI327739 RXM327739 RNQ327739 RDU327739 QTY327739 QKC327739 QAG327739 PQK327739 PGO327739 OWS327739 OMW327739 ODA327739 NTE327739 NJI327739 MZM327739 MPQ327739 MFU327739 LVY327739 LMC327739 LCG327739 KSK327739 KIO327739 JYS327739 JOW327739 JFA327739 IVE327739 ILI327739 IBM327739 HRQ327739 HHU327739 GXY327739 GOC327739 GEG327739 FUK327739 FKO327739 FAS327739 EQW327739 EHA327739 DXE327739 DNI327739 DDM327739 CTQ327739 CJU327739 BZY327739 BQC327739 BGG327739 AWK327739 AMO327739 ACS327739 SW327739 JA327739 E327739 WVM262203 WLQ262203 WBU262203 VRY262203 VIC262203 UYG262203 UOK262203 UEO262203 TUS262203 TKW262203 TBA262203 SRE262203 SHI262203 RXM262203 RNQ262203 RDU262203 QTY262203 QKC262203 QAG262203 PQK262203 PGO262203 OWS262203 OMW262203 ODA262203 NTE262203 NJI262203 MZM262203 MPQ262203 MFU262203 LVY262203 LMC262203 LCG262203 KSK262203 KIO262203 JYS262203 JOW262203 JFA262203 IVE262203 ILI262203 IBM262203 HRQ262203 HHU262203 GXY262203 GOC262203 GEG262203 FUK262203 FKO262203 FAS262203 EQW262203 EHA262203 DXE262203 DNI262203 DDM262203 CTQ262203 CJU262203 BZY262203 BQC262203 BGG262203 AWK262203 AMO262203 ACS262203 SW262203 JA262203 E262203 WVM196667 WLQ196667 WBU196667 VRY196667 VIC196667 UYG196667 UOK196667 UEO196667 TUS196667 TKW196667 TBA196667 SRE196667 SHI196667 RXM196667 RNQ196667 RDU196667 QTY196667 QKC196667 QAG196667 PQK196667 PGO196667 OWS196667 OMW196667 ODA196667 NTE196667 NJI196667 MZM196667 MPQ196667 MFU196667 LVY196667 LMC196667 LCG196667 KSK196667 KIO196667 JYS196667 JOW196667 JFA196667 IVE196667 ILI196667 IBM196667 HRQ196667 HHU196667 GXY196667 GOC196667 GEG196667 FUK196667 FKO196667 FAS196667 EQW196667 EHA196667 DXE196667 DNI196667 DDM196667 CTQ196667 CJU196667 BZY196667 BQC196667 BGG196667 AWK196667 AMO196667 ACS196667 SW196667 JA196667 E196667 WVM131131 WLQ131131 WBU131131 VRY131131 VIC131131 UYG131131 UOK131131 UEO131131 TUS131131 TKW131131 TBA131131 SRE131131 SHI131131 RXM131131 RNQ131131 RDU131131 QTY131131 QKC131131 QAG131131 PQK131131 PGO131131 OWS131131 OMW131131 ODA131131 NTE131131 NJI131131 MZM131131 MPQ131131 MFU131131 LVY131131 LMC131131 LCG131131 KSK131131 KIO131131 JYS131131 JOW131131 JFA131131 IVE131131 ILI131131 IBM131131 HRQ131131 HHU131131 GXY131131 GOC131131 GEG131131 FUK131131 FKO131131 FAS131131 EQW131131 EHA131131 DXE131131 DNI131131 DDM131131 CTQ131131 CJU131131 BZY131131 BQC131131 BGG131131 AWK131131 AMO131131 ACS131131 SW131131 JA131131 E131131 WVM65595 WLQ65595 WBU65595 VRY65595 VIC65595 UYG65595 UOK65595 UEO65595 TUS65595 TKW65595 TBA65595 SRE65595 SHI65595 RXM65595 RNQ65595 RDU65595 QTY65595 QKC65595 QAG65595 PQK65595 PGO65595 OWS65595 OMW65595 ODA65595 NTE65595 NJI65595 MZM65595 MPQ65595 MFU65595 LVY65595 LMC65595 LCG65595 KSK65595 KIO65595 JYS65595 JOW65595 JFA65595 IVE65595 ILI65595 IBM65595 HRQ65595 HHU65595 GXY65595 GOC65595 GEG65595 FUK65595 FKO65595 FAS65595 EQW65595 EHA65595 DXE65595 DNI65595 DDM65595 CTQ65595 CJU65595 BZY65595 BQC65595 BGG65595 AWK65595 AMO65595 ACS65595 SW65595 JA65595 E65595 WVM59 WLQ59 WBU59 VRY59 VIC59 UYG59 UOK59 UEO59 TUS59 TKW59 TBA59 SRE59 SHI59 RXM59 RNQ59 RDU59 QTY59 QKC59 QAG59 PQK59 PGO59 OWS59 OMW59 ODA59 NTE59 NJI59 MZM59 MPQ59 MFU59 LVY59 LMC59 LCG59 KSK59 KIO59 JYS59 JOW59 JFA59 IVE59 ILI59 IBM59 HRQ59 HHU59 GXY59 GOC59 GEG59 FUK59 FKO59 FAS59 EQW59 EHA59 DXE59 DNI59 DDM59 CTQ59 CJU59 BZY59 BQC59 BGG59 AWK59 AMO59 ACS59 SW59 JA59 WLQ983101:WLQ983102 WVM983080:WVM983096 WLQ983080:WLQ983096 WBU983080:WBU983096 VRY983080:VRY983096 VIC983080:VIC983096 UYG983080:UYG983096 UOK983080:UOK983096 UEO983080:UEO983096 TUS983080:TUS983096 TKW983080:TKW983096 TBA983080:TBA983096 SRE983080:SRE983096 SHI983080:SHI983096 RXM983080:RXM983096 RNQ983080:RNQ983096 RDU983080:RDU983096 QTY983080:QTY983096 QKC983080:QKC983096 QAG983080:QAG983096 PQK983080:PQK983096 PGO983080:PGO983096 OWS983080:OWS983096 OMW983080:OMW983096 ODA983080:ODA983096 NTE983080:NTE983096 NJI983080:NJI983096 MZM983080:MZM983096 MPQ983080:MPQ983096 MFU983080:MFU983096 LVY983080:LVY983096 LMC983080:LMC983096 LCG983080:LCG983096 KSK983080:KSK983096 KIO983080:KIO983096 JYS983080:JYS983096 JOW983080:JOW983096 JFA983080:JFA983096 IVE983080:IVE983096 ILI983080:ILI983096 IBM983080:IBM983096 HRQ983080:HRQ983096 HHU983080:HHU983096 GXY983080:GXY983096 GOC983080:GOC983096 GEG983080:GEG983096 FUK983080:FUK983096 FKO983080:FKO983096 FAS983080:FAS983096 EQW983080:EQW983096 EHA983080:EHA983096 DXE983080:DXE983096 DNI983080:DNI983096 DDM983080:DDM983096 CTQ983080:CTQ983096 CJU983080:CJU983096 BZY983080:BZY983096 BQC983080:BQC983096 BGG983080:BGG983096 AWK983080:AWK983096 AMO983080:AMO983096 ACS983080:ACS983096 SW983080:SW983096 JA983080:JA983096 E983080:E983096 WVM917544:WVM917560 WLQ917544:WLQ917560 WBU917544:WBU917560 VRY917544:VRY917560 VIC917544:VIC917560 UYG917544:UYG917560 UOK917544:UOK917560 UEO917544:UEO917560 TUS917544:TUS917560 TKW917544:TKW917560 TBA917544:TBA917560 SRE917544:SRE917560 SHI917544:SHI917560 RXM917544:RXM917560 RNQ917544:RNQ917560 RDU917544:RDU917560 QTY917544:QTY917560 QKC917544:QKC917560 QAG917544:QAG917560 PQK917544:PQK917560 PGO917544:PGO917560 OWS917544:OWS917560 OMW917544:OMW917560 ODA917544:ODA917560 NTE917544:NTE917560 NJI917544:NJI917560 MZM917544:MZM917560 MPQ917544:MPQ917560 MFU917544:MFU917560 LVY917544:LVY917560 LMC917544:LMC917560 LCG917544:LCG917560 KSK917544:KSK917560 KIO917544:KIO917560 JYS917544:JYS917560 JOW917544:JOW917560 JFA917544:JFA917560 IVE917544:IVE917560 ILI917544:ILI917560 IBM917544:IBM917560 HRQ917544:HRQ917560 HHU917544:HHU917560 GXY917544:GXY917560 GOC917544:GOC917560 GEG917544:GEG917560 FUK917544:FUK917560 FKO917544:FKO917560 FAS917544:FAS917560 EQW917544:EQW917560 EHA917544:EHA917560 DXE917544:DXE917560 DNI917544:DNI917560 DDM917544:DDM917560 CTQ917544:CTQ917560 CJU917544:CJU917560 BZY917544:BZY917560 BQC917544:BQC917560 BGG917544:BGG917560 AWK917544:AWK917560 AMO917544:AMO917560 ACS917544:ACS917560 SW917544:SW917560 JA917544:JA917560 E917544:E917560 WVM852008:WVM852024 WLQ852008:WLQ852024 WBU852008:WBU852024 VRY852008:VRY852024 VIC852008:VIC852024 UYG852008:UYG852024 UOK852008:UOK852024 UEO852008:UEO852024 TUS852008:TUS852024 TKW852008:TKW852024 TBA852008:TBA852024 SRE852008:SRE852024 SHI852008:SHI852024 RXM852008:RXM852024 RNQ852008:RNQ852024 RDU852008:RDU852024 QTY852008:QTY852024 QKC852008:QKC852024 QAG852008:QAG852024 PQK852008:PQK852024 PGO852008:PGO852024 OWS852008:OWS852024 OMW852008:OMW852024 ODA852008:ODA852024 NTE852008:NTE852024 NJI852008:NJI852024 MZM852008:MZM852024 MPQ852008:MPQ852024 MFU852008:MFU852024 LVY852008:LVY852024 LMC852008:LMC852024 LCG852008:LCG852024 KSK852008:KSK852024 KIO852008:KIO852024 JYS852008:JYS852024 JOW852008:JOW852024 JFA852008:JFA852024 IVE852008:IVE852024 ILI852008:ILI852024 IBM852008:IBM852024 HRQ852008:HRQ852024 HHU852008:HHU852024 GXY852008:GXY852024 GOC852008:GOC852024 GEG852008:GEG852024 FUK852008:FUK852024 FKO852008:FKO852024 FAS852008:FAS852024 EQW852008:EQW852024 EHA852008:EHA852024 DXE852008:DXE852024 DNI852008:DNI852024 DDM852008:DDM852024 CTQ852008:CTQ852024 CJU852008:CJU852024 BZY852008:BZY852024 BQC852008:BQC852024 BGG852008:BGG852024 AWK852008:AWK852024 AMO852008:AMO852024 ACS852008:ACS852024 SW852008:SW852024 JA852008:JA852024 E852008:E852024 WVM786472:WVM786488 WLQ786472:WLQ786488 WBU786472:WBU786488 VRY786472:VRY786488 VIC786472:VIC786488 UYG786472:UYG786488 UOK786472:UOK786488 UEO786472:UEO786488 TUS786472:TUS786488 TKW786472:TKW786488 TBA786472:TBA786488 SRE786472:SRE786488 SHI786472:SHI786488 RXM786472:RXM786488 RNQ786472:RNQ786488 RDU786472:RDU786488 QTY786472:QTY786488 QKC786472:QKC786488 QAG786472:QAG786488 PQK786472:PQK786488 PGO786472:PGO786488 OWS786472:OWS786488 OMW786472:OMW786488 ODA786472:ODA786488 NTE786472:NTE786488 NJI786472:NJI786488 MZM786472:MZM786488 MPQ786472:MPQ786488 MFU786472:MFU786488 LVY786472:LVY786488 LMC786472:LMC786488 LCG786472:LCG786488 KSK786472:KSK786488 KIO786472:KIO786488 JYS786472:JYS786488 JOW786472:JOW786488 JFA786472:JFA786488 IVE786472:IVE786488 ILI786472:ILI786488 IBM786472:IBM786488 HRQ786472:HRQ786488 HHU786472:HHU786488 GXY786472:GXY786488 GOC786472:GOC786488 GEG786472:GEG786488 FUK786472:FUK786488 FKO786472:FKO786488 FAS786472:FAS786488 EQW786472:EQW786488 EHA786472:EHA786488 DXE786472:DXE786488 DNI786472:DNI786488 DDM786472:DDM786488 CTQ786472:CTQ786488 CJU786472:CJU786488 BZY786472:BZY786488 BQC786472:BQC786488 BGG786472:BGG786488 AWK786472:AWK786488 AMO786472:AMO786488 ACS786472:ACS786488 SW786472:SW786488 JA786472:JA786488 E786472:E786488 WVM720936:WVM720952 WLQ720936:WLQ720952 WBU720936:WBU720952 VRY720936:VRY720952 VIC720936:VIC720952 UYG720936:UYG720952 UOK720936:UOK720952 UEO720936:UEO720952 TUS720936:TUS720952 TKW720936:TKW720952 TBA720936:TBA720952 SRE720936:SRE720952 SHI720936:SHI720952 RXM720936:RXM720952 RNQ720936:RNQ720952 RDU720936:RDU720952 QTY720936:QTY720952 QKC720936:QKC720952 QAG720936:QAG720952 PQK720936:PQK720952 PGO720936:PGO720952 OWS720936:OWS720952 OMW720936:OMW720952 ODA720936:ODA720952 NTE720936:NTE720952 NJI720936:NJI720952 MZM720936:MZM720952 MPQ720936:MPQ720952 MFU720936:MFU720952 LVY720936:LVY720952 LMC720936:LMC720952 LCG720936:LCG720952 KSK720936:KSK720952 KIO720936:KIO720952 JYS720936:JYS720952 JOW720936:JOW720952 JFA720936:JFA720952 IVE720936:IVE720952 ILI720936:ILI720952 IBM720936:IBM720952 HRQ720936:HRQ720952 HHU720936:HHU720952 GXY720936:GXY720952 GOC720936:GOC720952 GEG720936:GEG720952 FUK720936:FUK720952 FKO720936:FKO720952 FAS720936:FAS720952 EQW720936:EQW720952 EHA720936:EHA720952 DXE720936:DXE720952 DNI720936:DNI720952 DDM720936:DDM720952 CTQ720936:CTQ720952 CJU720936:CJU720952 BZY720936:BZY720952 BQC720936:BQC720952 BGG720936:BGG720952 AWK720936:AWK720952 AMO720936:AMO720952 ACS720936:ACS720952 SW720936:SW720952 JA720936:JA720952 E720936:E720952 WVM655400:WVM655416 WLQ655400:WLQ655416 WBU655400:WBU655416 VRY655400:VRY655416 VIC655400:VIC655416 UYG655400:UYG655416 UOK655400:UOK655416 UEO655400:UEO655416 TUS655400:TUS655416 TKW655400:TKW655416 TBA655400:TBA655416 SRE655400:SRE655416 SHI655400:SHI655416 RXM655400:RXM655416 RNQ655400:RNQ655416 RDU655400:RDU655416 QTY655400:QTY655416 QKC655400:QKC655416 QAG655400:QAG655416 PQK655400:PQK655416 PGO655400:PGO655416 OWS655400:OWS655416 OMW655400:OMW655416 ODA655400:ODA655416 NTE655400:NTE655416 NJI655400:NJI655416 MZM655400:MZM655416 MPQ655400:MPQ655416 MFU655400:MFU655416 LVY655400:LVY655416 LMC655400:LMC655416 LCG655400:LCG655416 KSK655400:KSK655416 KIO655400:KIO655416 JYS655400:JYS655416 JOW655400:JOW655416 JFA655400:JFA655416 IVE655400:IVE655416 ILI655400:ILI655416 IBM655400:IBM655416 HRQ655400:HRQ655416 HHU655400:HHU655416 GXY655400:GXY655416 GOC655400:GOC655416 GEG655400:GEG655416 FUK655400:FUK655416 FKO655400:FKO655416 FAS655400:FAS655416 EQW655400:EQW655416 EHA655400:EHA655416 DXE655400:DXE655416 DNI655400:DNI655416 DDM655400:DDM655416 CTQ655400:CTQ655416 CJU655400:CJU655416 BZY655400:BZY655416 BQC655400:BQC655416 BGG655400:BGG655416 AWK655400:AWK655416 AMO655400:AMO655416 ACS655400:ACS655416 SW655400:SW655416 JA655400:JA655416 E655400:E655416 WVM589864:WVM589880 WLQ589864:WLQ589880 WBU589864:WBU589880 VRY589864:VRY589880 VIC589864:VIC589880 UYG589864:UYG589880 UOK589864:UOK589880 UEO589864:UEO589880 TUS589864:TUS589880 TKW589864:TKW589880 TBA589864:TBA589880 SRE589864:SRE589880 SHI589864:SHI589880 RXM589864:RXM589880 RNQ589864:RNQ589880 RDU589864:RDU589880 QTY589864:QTY589880 QKC589864:QKC589880 QAG589864:QAG589880 PQK589864:PQK589880 PGO589864:PGO589880 OWS589864:OWS589880 OMW589864:OMW589880 ODA589864:ODA589880 NTE589864:NTE589880 NJI589864:NJI589880 MZM589864:MZM589880 MPQ589864:MPQ589880 MFU589864:MFU589880 LVY589864:LVY589880 LMC589864:LMC589880 LCG589864:LCG589880 KSK589864:KSK589880 KIO589864:KIO589880 JYS589864:JYS589880 JOW589864:JOW589880 JFA589864:JFA589880 IVE589864:IVE589880 ILI589864:ILI589880 IBM589864:IBM589880 HRQ589864:HRQ589880 HHU589864:HHU589880 GXY589864:GXY589880 GOC589864:GOC589880 GEG589864:GEG589880 FUK589864:FUK589880 FKO589864:FKO589880 FAS589864:FAS589880 EQW589864:EQW589880 EHA589864:EHA589880 DXE589864:DXE589880 DNI589864:DNI589880 DDM589864:DDM589880 CTQ589864:CTQ589880 CJU589864:CJU589880 BZY589864:BZY589880 BQC589864:BQC589880 BGG589864:BGG589880 AWK589864:AWK589880 AMO589864:AMO589880 ACS589864:ACS589880 SW589864:SW589880 JA589864:JA589880 E589864:E589880 WVM524328:WVM524344 WLQ524328:WLQ524344 WBU524328:WBU524344 VRY524328:VRY524344 VIC524328:VIC524344 UYG524328:UYG524344 UOK524328:UOK524344 UEO524328:UEO524344 TUS524328:TUS524344 TKW524328:TKW524344 TBA524328:TBA524344 SRE524328:SRE524344 SHI524328:SHI524344 RXM524328:RXM524344 RNQ524328:RNQ524344 RDU524328:RDU524344 QTY524328:QTY524344 QKC524328:QKC524344 QAG524328:QAG524344 PQK524328:PQK524344 PGO524328:PGO524344 OWS524328:OWS524344 OMW524328:OMW524344 ODA524328:ODA524344 NTE524328:NTE524344 NJI524328:NJI524344 MZM524328:MZM524344 MPQ524328:MPQ524344 MFU524328:MFU524344 LVY524328:LVY524344 LMC524328:LMC524344 LCG524328:LCG524344 KSK524328:KSK524344 KIO524328:KIO524344 JYS524328:JYS524344 JOW524328:JOW524344 JFA524328:JFA524344 IVE524328:IVE524344 ILI524328:ILI524344 IBM524328:IBM524344 HRQ524328:HRQ524344 HHU524328:HHU524344 GXY524328:GXY524344 GOC524328:GOC524344 GEG524328:GEG524344 FUK524328:FUK524344 FKO524328:FKO524344 FAS524328:FAS524344 EQW524328:EQW524344 EHA524328:EHA524344 DXE524328:DXE524344 DNI524328:DNI524344 DDM524328:DDM524344 CTQ524328:CTQ524344 CJU524328:CJU524344 BZY524328:BZY524344 BQC524328:BQC524344 BGG524328:BGG524344 AWK524328:AWK524344 AMO524328:AMO524344 ACS524328:ACS524344 SW524328:SW524344 JA524328:JA524344 E524328:E524344 WVM458792:WVM458808 WLQ458792:WLQ458808 WBU458792:WBU458808 VRY458792:VRY458808 VIC458792:VIC458808 UYG458792:UYG458808 UOK458792:UOK458808 UEO458792:UEO458808 TUS458792:TUS458808 TKW458792:TKW458808 TBA458792:TBA458808 SRE458792:SRE458808 SHI458792:SHI458808 RXM458792:RXM458808 RNQ458792:RNQ458808 RDU458792:RDU458808 QTY458792:QTY458808 QKC458792:QKC458808 QAG458792:QAG458808 PQK458792:PQK458808 PGO458792:PGO458808 OWS458792:OWS458808 OMW458792:OMW458808 ODA458792:ODA458808 NTE458792:NTE458808 NJI458792:NJI458808 MZM458792:MZM458808 MPQ458792:MPQ458808 MFU458792:MFU458808 LVY458792:LVY458808 LMC458792:LMC458808 LCG458792:LCG458808 KSK458792:KSK458808 KIO458792:KIO458808 JYS458792:JYS458808 JOW458792:JOW458808 JFA458792:JFA458808 IVE458792:IVE458808 ILI458792:ILI458808 IBM458792:IBM458808 HRQ458792:HRQ458808 HHU458792:HHU458808 GXY458792:GXY458808 GOC458792:GOC458808 GEG458792:GEG458808 FUK458792:FUK458808 FKO458792:FKO458808 FAS458792:FAS458808 EQW458792:EQW458808 EHA458792:EHA458808 DXE458792:DXE458808 DNI458792:DNI458808 DDM458792:DDM458808 CTQ458792:CTQ458808 CJU458792:CJU458808 BZY458792:BZY458808 BQC458792:BQC458808 BGG458792:BGG458808 AWK458792:AWK458808 AMO458792:AMO458808 ACS458792:ACS458808 SW458792:SW458808 JA458792:JA458808 E458792:E458808 WVM393256:WVM393272 WLQ393256:WLQ393272 WBU393256:WBU393272 VRY393256:VRY393272 VIC393256:VIC393272 UYG393256:UYG393272 UOK393256:UOK393272 UEO393256:UEO393272 TUS393256:TUS393272 TKW393256:TKW393272 TBA393256:TBA393272 SRE393256:SRE393272 SHI393256:SHI393272 RXM393256:RXM393272 RNQ393256:RNQ393272 RDU393256:RDU393272 QTY393256:QTY393272 QKC393256:QKC393272 QAG393256:QAG393272 PQK393256:PQK393272 PGO393256:PGO393272 OWS393256:OWS393272 OMW393256:OMW393272 ODA393256:ODA393272 NTE393256:NTE393272 NJI393256:NJI393272 MZM393256:MZM393272 MPQ393256:MPQ393272 MFU393256:MFU393272 LVY393256:LVY393272 LMC393256:LMC393272 LCG393256:LCG393272 KSK393256:KSK393272 KIO393256:KIO393272 JYS393256:JYS393272 JOW393256:JOW393272 JFA393256:JFA393272 IVE393256:IVE393272 ILI393256:ILI393272 IBM393256:IBM393272 HRQ393256:HRQ393272 HHU393256:HHU393272 GXY393256:GXY393272 GOC393256:GOC393272 GEG393256:GEG393272 FUK393256:FUK393272 FKO393256:FKO393272 FAS393256:FAS393272 EQW393256:EQW393272 EHA393256:EHA393272 DXE393256:DXE393272 DNI393256:DNI393272 DDM393256:DDM393272 CTQ393256:CTQ393272 CJU393256:CJU393272 BZY393256:BZY393272 BQC393256:BQC393272 BGG393256:BGG393272 AWK393256:AWK393272 AMO393256:AMO393272 ACS393256:ACS393272 SW393256:SW393272 JA393256:JA393272 E393256:E393272 WVM327720:WVM327736 WLQ327720:WLQ327736 WBU327720:WBU327736 VRY327720:VRY327736 VIC327720:VIC327736 UYG327720:UYG327736 UOK327720:UOK327736 UEO327720:UEO327736 TUS327720:TUS327736 TKW327720:TKW327736 TBA327720:TBA327736 SRE327720:SRE327736 SHI327720:SHI327736 RXM327720:RXM327736 RNQ327720:RNQ327736 RDU327720:RDU327736 QTY327720:QTY327736 QKC327720:QKC327736 QAG327720:QAG327736 PQK327720:PQK327736 PGO327720:PGO327736 OWS327720:OWS327736 OMW327720:OMW327736 ODA327720:ODA327736 NTE327720:NTE327736 NJI327720:NJI327736 MZM327720:MZM327736 MPQ327720:MPQ327736 MFU327720:MFU327736 LVY327720:LVY327736 LMC327720:LMC327736 LCG327720:LCG327736 KSK327720:KSK327736 KIO327720:KIO327736 JYS327720:JYS327736 JOW327720:JOW327736 JFA327720:JFA327736 IVE327720:IVE327736 ILI327720:ILI327736 IBM327720:IBM327736 HRQ327720:HRQ327736 HHU327720:HHU327736 GXY327720:GXY327736 GOC327720:GOC327736 GEG327720:GEG327736 FUK327720:FUK327736 FKO327720:FKO327736 FAS327720:FAS327736 EQW327720:EQW327736 EHA327720:EHA327736 DXE327720:DXE327736 DNI327720:DNI327736 DDM327720:DDM327736 CTQ327720:CTQ327736 CJU327720:CJU327736 BZY327720:BZY327736 BQC327720:BQC327736 BGG327720:BGG327736 AWK327720:AWK327736 AMO327720:AMO327736 ACS327720:ACS327736 SW327720:SW327736 JA327720:JA327736 E327720:E327736 WVM262184:WVM262200 WLQ262184:WLQ262200 WBU262184:WBU262200 VRY262184:VRY262200 VIC262184:VIC262200 UYG262184:UYG262200 UOK262184:UOK262200 UEO262184:UEO262200 TUS262184:TUS262200 TKW262184:TKW262200 TBA262184:TBA262200 SRE262184:SRE262200 SHI262184:SHI262200 RXM262184:RXM262200 RNQ262184:RNQ262200 RDU262184:RDU262200 QTY262184:QTY262200 QKC262184:QKC262200 QAG262184:QAG262200 PQK262184:PQK262200 PGO262184:PGO262200 OWS262184:OWS262200 OMW262184:OMW262200 ODA262184:ODA262200 NTE262184:NTE262200 NJI262184:NJI262200 MZM262184:MZM262200 MPQ262184:MPQ262200 MFU262184:MFU262200 LVY262184:LVY262200 LMC262184:LMC262200 LCG262184:LCG262200 KSK262184:KSK262200 KIO262184:KIO262200 JYS262184:JYS262200 JOW262184:JOW262200 JFA262184:JFA262200 IVE262184:IVE262200 ILI262184:ILI262200 IBM262184:IBM262200 HRQ262184:HRQ262200 HHU262184:HHU262200 GXY262184:GXY262200 GOC262184:GOC262200 GEG262184:GEG262200 FUK262184:FUK262200 FKO262184:FKO262200 FAS262184:FAS262200 EQW262184:EQW262200 EHA262184:EHA262200 DXE262184:DXE262200 DNI262184:DNI262200 DDM262184:DDM262200 CTQ262184:CTQ262200 CJU262184:CJU262200 BZY262184:BZY262200 BQC262184:BQC262200 BGG262184:BGG262200 AWK262184:AWK262200 AMO262184:AMO262200 ACS262184:ACS262200 SW262184:SW262200 JA262184:JA262200 E262184:E262200 WVM196648:WVM196664 WLQ196648:WLQ196664 WBU196648:WBU196664 VRY196648:VRY196664 VIC196648:VIC196664 UYG196648:UYG196664 UOK196648:UOK196664 UEO196648:UEO196664 TUS196648:TUS196664 TKW196648:TKW196664 TBA196648:TBA196664 SRE196648:SRE196664 SHI196648:SHI196664 RXM196648:RXM196664 RNQ196648:RNQ196664 RDU196648:RDU196664 QTY196648:QTY196664 QKC196648:QKC196664 QAG196648:QAG196664 PQK196648:PQK196664 PGO196648:PGO196664 OWS196648:OWS196664 OMW196648:OMW196664 ODA196648:ODA196664 NTE196648:NTE196664 NJI196648:NJI196664 MZM196648:MZM196664 MPQ196648:MPQ196664 MFU196648:MFU196664 LVY196648:LVY196664 LMC196648:LMC196664 LCG196648:LCG196664 KSK196648:KSK196664 KIO196648:KIO196664 JYS196648:JYS196664 JOW196648:JOW196664 JFA196648:JFA196664 IVE196648:IVE196664 ILI196648:ILI196664 IBM196648:IBM196664 HRQ196648:HRQ196664 HHU196648:HHU196664 GXY196648:GXY196664 GOC196648:GOC196664 GEG196648:GEG196664 FUK196648:FUK196664 FKO196648:FKO196664 FAS196648:FAS196664 EQW196648:EQW196664 EHA196648:EHA196664 DXE196648:DXE196664 DNI196648:DNI196664 DDM196648:DDM196664 CTQ196648:CTQ196664 CJU196648:CJU196664 BZY196648:BZY196664 BQC196648:BQC196664 BGG196648:BGG196664 AWK196648:AWK196664 AMO196648:AMO196664 ACS196648:ACS196664 SW196648:SW196664 JA196648:JA196664 E196648:E196664 WVM131112:WVM131128 WLQ131112:WLQ131128 WBU131112:WBU131128 VRY131112:VRY131128 VIC131112:VIC131128 UYG131112:UYG131128 UOK131112:UOK131128 UEO131112:UEO131128 TUS131112:TUS131128 TKW131112:TKW131128 TBA131112:TBA131128 SRE131112:SRE131128 SHI131112:SHI131128 RXM131112:RXM131128 RNQ131112:RNQ131128 RDU131112:RDU131128 QTY131112:QTY131128 QKC131112:QKC131128 QAG131112:QAG131128 PQK131112:PQK131128 PGO131112:PGO131128 OWS131112:OWS131128 OMW131112:OMW131128 ODA131112:ODA131128 NTE131112:NTE131128 NJI131112:NJI131128 MZM131112:MZM131128 MPQ131112:MPQ131128 MFU131112:MFU131128 LVY131112:LVY131128 LMC131112:LMC131128 LCG131112:LCG131128 KSK131112:KSK131128 KIO131112:KIO131128 JYS131112:JYS131128 JOW131112:JOW131128 JFA131112:JFA131128 IVE131112:IVE131128 ILI131112:ILI131128 IBM131112:IBM131128 HRQ131112:HRQ131128 HHU131112:HHU131128 GXY131112:GXY131128 GOC131112:GOC131128 GEG131112:GEG131128 FUK131112:FUK131128 FKO131112:FKO131128 FAS131112:FAS131128 EQW131112:EQW131128 EHA131112:EHA131128 DXE131112:DXE131128 DNI131112:DNI131128 DDM131112:DDM131128 CTQ131112:CTQ131128 CJU131112:CJU131128 BZY131112:BZY131128 BQC131112:BQC131128 BGG131112:BGG131128 AWK131112:AWK131128 AMO131112:AMO131128 ACS131112:ACS131128 SW131112:SW131128 JA131112:JA131128 E131112:E131128 WVM65576:WVM65592 WLQ65576:WLQ65592 WBU65576:WBU65592 VRY65576:VRY65592 VIC65576:VIC65592 UYG65576:UYG65592 UOK65576:UOK65592 UEO65576:UEO65592 TUS65576:TUS65592 TKW65576:TKW65592 TBA65576:TBA65592 SRE65576:SRE65592 SHI65576:SHI65592 RXM65576:RXM65592 RNQ65576:RNQ65592 RDU65576:RDU65592 QTY65576:QTY65592 QKC65576:QKC65592 QAG65576:QAG65592 PQK65576:PQK65592 PGO65576:PGO65592 OWS65576:OWS65592 OMW65576:OMW65592 ODA65576:ODA65592 NTE65576:NTE65592 NJI65576:NJI65592 MZM65576:MZM65592 MPQ65576:MPQ65592 MFU65576:MFU65592 LVY65576:LVY65592 LMC65576:LMC65592 LCG65576:LCG65592 KSK65576:KSK65592 KIO65576:KIO65592 JYS65576:JYS65592 JOW65576:JOW65592 JFA65576:JFA65592 IVE65576:IVE65592 ILI65576:ILI65592 IBM65576:IBM65592 HRQ65576:HRQ65592 HHU65576:HHU65592 GXY65576:GXY65592 GOC65576:GOC65592 GEG65576:GEG65592 FUK65576:FUK65592 FKO65576:FKO65592 FAS65576:FAS65592 EQW65576:EQW65592 EHA65576:EHA65592 DXE65576:DXE65592 DNI65576:DNI65592 DDM65576:DDM65592 CTQ65576:CTQ65592 CJU65576:CJU65592 BZY65576:BZY65592 BQC65576:BQC65592 BGG65576:BGG65592 AWK65576:AWK65592 AMO65576:AMO65592 ACS65576:ACS65592 SW65576:SW65592 JA65576:JA65592 E65576:E65592 WVM40:WVM56 WLQ40:WLQ56 WBU40:WBU56 VRY40:VRY56 VIC40:VIC56 UYG40:UYG56 UOK40:UOK56 UEO40:UEO56 TUS40:TUS56 TKW40:TKW56 TBA40:TBA56 SRE40:SRE56 SHI40:SHI56 RXM40:RXM56 RNQ40:RNQ56 RDU40:RDU56 QTY40:QTY56 QKC40:QKC56 QAG40:QAG56 PQK40:PQK56 PGO40:PGO56 OWS40:OWS56 OMW40:OMW56 ODA40:ODA56 NTE40:NTE56 NJI40:NJI56 MZM40:MZM56 MPQ40:MPQ56 MFU40:MFU56 LVY40:LVY56 LMC40:LMC56 LCG40:LCG56 KSK40:KSK56 KIO40:KIO56 JYS40:JYS56 JOW40:JOW56 JFA40:JFA56 IVE40:IVE56 ILI40:ILI56 IBM40:IBM56 HRQ40:HRQ56 HHU40:HHU56 GXY40:GXY56 GOC40:GOC56 GEG40:GEG56 FUK40:FUK56 FKO40:FKO56 FAS40:FAS56 EQW40:EQW56 EHA40:EHA56 DXE40:DXE56 DNI40:DNI56 DDM40:DDM56 CTQ40:CTQ56 CJU40:CJU56 BZY40:BZY56 BQC40:BQC56 BGG40:BGG56 AWK40:AWK56 AMO40:AMO56 ACS40:ACS56 SW40:SW56 JA40:JA56">
      <formula1>"IDE,WebAPI,WebSamples"</formula1>
    </dataValidation>
    <dataValidation type="list" allowBlank="1" showInputMessage="1" showErrorMessage="1" sqref="WVV983080:WVV983103 WLZ983080:WLZ983103 WCD983080:WCD983103 VSH983080:VSH983103 VIL983080:VIL983103 UYP983080:UYP983103 UOT983080:UOT983103 UEX983080:UEX983103 TVB983080:TVB983103 TLF983080:TLF983103 TBJ983080:TBJ983103 SRN983080:SRN983103 SHR983080:SHR983103 RXV983080:RXV983103 RNZ983080:RNZ983103 RED983080:RED983103 QUH983080:QUH983103 QKL983080:QKL983103 QAP983080:QAP983103 PQT983080:PQT983103 PGX983080:PGX983103 OXB983080:OXB983103 ONF983080:ONF983103 ODJ983080:ODJ983103 NTN983080:NTN983103 NJR983080:NJR983103 MZV983080:MZV983103 MPZ983080:MPZ983103 MGD983080:MGD983103 LWH983080:LWH983103 LML983080:LML983103 LCP983080:LCP983103 KST983080:KST983103 KIX983080:KIX983103 JZB983080:JZB983103 JPF983080:JPF983103 JFJ983080:JFJ983103 IVN983080:IVN983103 ILR983080:ILR983103 IBV983080:IBV983103 HRZ983080:HRZ983103 HID983080:HID983103 GYH983080:GYH983103 GOL983080:GOL983103 GEP983080:GEP983103 FUT983080:FUT983103 FKX983080:FKX983103 FBB983080:FBB983103 ERF983080:ERF983103 EHJ983080:EHJ983103 DXN983080:DXN983103 DNR983080:DNR983103 DDV983080:DDV983103 CTZ983080:CTZ983103 CKD983080:CKD983103 CAH983080:CAH983103 BQL983080:BQL983103 BGP983080:BGP983103 AWT983080:AWT983103 AMX983080:AMX983103 ADB983080:ADB983103 TF983080:TF983103 JJ983080:JJ983103 N983080:N983103 WVV917544:WVV917567 WLZ917544:WLZ917567 WCD917544:WCD917567 VSH917544:VSH917567 VIL917544:VIL917567 UYP917544:UYP917567 UOT917544:UOT917567 UEX917544:UEX917567 TVB917544:TVB917567 TLF917544:TLF917567 TBJ917544:TBJ917567 SRN917544:SRN917567 SHR917544:SHR917567 RXV917544:RXV917567 RNZ917544:RNZ917567 RED917544:RED917567 QUH917544:QUH917567 QKL917544:QKL917567 QAP917544:QAP917567 PQT917544:PQT917567 PGX917544:PGX917567 OXB917544:OXB917567 ONF917544:ONF917567 ODJ917544:ODJ917567 NTN917544:NTN917567 NJR917544:NJR917567 MZV917544:MZV917567 MPZ917544:MPZ917567 MGD917544:MGD917567 LWH917544:LWH917567 LML917544:LML917567 LCP917544:LCP917567 KST917544:KST917567 KIX917544:KIX917567 JZB917544:JZB917567 JPF917544:JPF917567 JFJ917544:JFJ917567 IVN917544:IVN917567 ILR917544:ILR917567 IBV917544:IBV917567 HRZ917544:HRZ917567 HID917544:HID917567 GYH917544:GYH917567 GOL917544:GOL917567 GEP917544:GEP917567 FUT917544:FUT917567 FKX917544:FKX917567 FBB917544:FBB917567 ERF917544:ERF917567 EHJ917544:EHJ917567 DXN917544:DXN917567 DNR917544:DNR917567 DDV917544:DDV917567 CTZ917544:CTZ917567 CKD917544:CKD917567 CAH917544:CAH917567 BQL917544:BQL917567 BGP917544:BGP917567 AWT917544:AWT917567 AMX917544:AMX917567 ADB917544:ADB917567 TF917544:TF917567 JJ917544:JJ917567 N917544:N917567 WVV852008:WVV852031 WLZ852008:WLZ852031 WCD852008:WCD852031 VSH852008:VSH852031 VIL852008:VIL852031 UYP852008:UYP852031 UOT852008:UOT852031 UEX852008:UEX852031 TVB852008:TVB852031 TLF852008:TLF852031 TBJ852008:TBJ852031 SRN852008:SRN852031 SHR852008:SHR852031 RXV852008:RXV852031 RNZ852008:RNZ852031 RED852008:RED852031 QUH852008:QUH852031 QKL852008:QKL852031 QAP852008:QAP852031 PQT852008:PQT852031 PGX852008:PGX852031 OXB852008:OXB852031 ONF852008:ONF852031 ODJ852008:ODJ852031 NTN852008:NTN852031 NJR852008:NJR852031 MZV852008:MZV852031 MPZ852008:MPZ852031 MGD852008:MGD852031 LWH852008:LWH852031 LML852008:LML852031 LCP852008:LCP852031 KST852008:KST852031 KIX852008:KIX852031 JZB852008:JZB852031 JPF852008:JPF852031 JFJ852008:JFJ852031 IVN852008:IVN852031 ILR852008:ILR852031 IBV852008:IBV852031 HRZ852008:HRZ852031 HID852008:HID852031 GYH852008:GYH852031 GOL852008:GOL852031 GEP852008:GEP852031 FUT852008:FUT852031 FKX852008:FKX852031 FBB852008:FBB852031 ERF852008:ERF852031 EHJ852008:EHJ852031 DXN852008:DXN852031 DNR852008:DNR852031 DDV852008:DDV852031 CTZ852008:CTZ852031 CKD852008:CKD852031 CAH852008:CAH852031 BQL852008:BQL852031 BGP852008:BGP852031 AWT852008:AWT852031 AMX852008:AMX852031 ADB852008:ADB852031 TF852008:TF852031 JJ852008:JJ852031 N852008:N852031 WVV786472:WVV786495 WLZ786472:WLZ786495 WCD786472:WCD786495 VSH786472:VSH786495 VIL786472:VIL786495 UYP786472:UYP786495 UOT786472:UOT786495 UEX786472:UEX786495 TVB786472:TVB786495 TLF786472:TLF786495 TBJ786472:TBJ786495 SRN786472:SRN786495 SHR786472:SHR786495 RXV786472:RXV786495 RNZ786472:RNZ786495 RED786472:RED786495 QUH786472:QUH786495 QKL786472:QKL786495 QAP786472:QAP786495 PQT786472:PQT786495 PGX786472:PGX786495 OXB786472:OXB786495 ONF786472:ONF786495 ODJ786472:ODJ786495 NTN786472:NTN786495 NJR786472:NJR786495 MZV786472:MZV786495 MPZ786472:MPZ786495 MGD786472:MGD786495 LWH786472:LWH786495 LML786472:LML786495 LCP786472:LCP786495 KST786472:KST786495 KIX786472:KIX786495 JZB786472:JZB786495 JPF786472:JPF786495 JFJ786472:JFJ786495 IVN786472:IVN786495 ILR786472:ILR786495 IBV786472:IBV786495 HRZ786472:HRZ786495 HID786472:HID786495 GYH786472:GYH786495 GOL786472:GOL786495 GEP786472:GEP786495 FUT786472:FUT786495 FKX786472:FKX786495 FBB786472:FBB786495 ERF786472:ERF786495 EHJ786472:EHJ786495 DXN786472:DXN786495 DNR786472:DNR786495 DDV786472:DDV786495 CTZ786472:CTZ786495 CKD786472:CKD786495 CAH786472:CAH786495 BQL786472:BQL786495 BGP786472:BGP786495 AWT786472:AWT786495 AMX786472:AMX786495 ADB786472:ADB786495 TF786472:TF786495 JJ786472:JJ786495 N786472:N786495 WVV720936:WVV720959 WLZ720936:WLZ720959 WCD720936:WCD720959 VSH720936:VSH720959 VIL720936:VIL720959 UYP720936:UYP720959 UOT720936:UOT720959 UEX720936:UEX720959 TVB720936:TVB720959 TLF720936:TLF720959 TBJ720936:TBJ720959 SRN720936:SRN720959 SHR720936:SHR720959 RXV720936:RXV720959 RNZ720936:RNZ720959 RED720936:RED720959 QUH720936:QUH720959 QKL720936:QKL720959 QAP720936:QAP720959 PQT720936:PQT720959 PGX720936:PGX720959 OXB720936:OXB720959 ONF720936:ONF720959 ODJ720936:ODJ720959 NTN720936:NTN720959 NJR720936:NJR720959 MZV720936:MZV720959 MPZ720936:MPZ720959 MGD720936:MGD720959 LWH720936:LWH720959 LML720936:LML720959 LCP720936:LCP720959 KST720936:KST720959 KIX720936:KIX720959 JZB720936:JZB720959 JPF720936:JPF720959 JFJ720936:JFJ720959 IVN720936:IVN720959 ILR720936:ILR720959 IBV720936:IBV720959 HRZ720936:HRZ720959 HID720936:HID720959 GYH720936:GYH720959 GOL720936:GOL720959 GEP720936:GEP720959 FUT720936:FUT720959 FKX720936:FKX720959 FBB720936:FBB720959 ERF720936:ERF720959 EHJ720936:EHJ720959 DXN720936:DXN720959 DNR720936:DNR720959 DDV720936:DDV720959 CTZ720936:CTZ720959 CKD720936:CKD720959 CAH720936:CAH720959 BQL720936:BQL720959 BGP720936:BGP720959 AWT720936:AWT720959 AMX720936:AMX720959 ADB720936:ADB720959 TF720936:TF720959 JJ720936:JJ720959 N720936:N720959 WVV655400:WVV655423 WLZ655400:WLZ655423 WCD655400:WCD655423 VSH655400:VSH655423 VIL655400:VIL655423 UYP655400:UYP655423 UOT655400:UOT655423 UEX655400:UEX655423 TVB655400:TVB655423 TLF655400:TLF655423 TBJ655400:TBJ655423 SRN655400:SRN655423 SHR655400:SHR655423 RXV655400:RXV655423 RNZ655400:RNZ655423 RED655400:RED655423 QUH655400:QUH655423 QKL655400:QKL655423 QAP655400:QAP655423 PQT655400:PQT655423 PGX655400:PGX655423 OXB655400:OXB655423 ONF655400:ONF655423 ODJ655400:ODJ655423 NTN655400:NTN655423 NJR655400:NJR655423 MZV655400:MZV655423 MPZ655400:MPZ655423 MGD655400:MGD655423 LWH655400:LWH655423 LML655400:LML655423 LCP655400:LCP655423 KST655400:KST655423 KIX655400:KIX655423 JZB655400:JZB655423 JPF655400:JPF655423 JFJ655400:JFJ655423 IVN655400:IVN655423 ILR655400:ILR655423 IBV655400:IBV655423 HRZ655400:HRZ655423 HID655400:HID655423 GYH655400:GYH655423 GOL655400:GOL655423 GEP655400:GEP655423 FUT655400:FUT655423 FKX655400:FKX655423 FBB655400:FBB655423 ERF655400:ERF655423 EHJ655400:EHJ655423 DXN655400:DXN655423 DNR655400:DNR655423 DDV655400:DDV655423 CTZ655400:CTZ655423 CKD655400:CKD655423 CAH655400:CAH655423 BQL655400:BQL655423 BGP655400:BGP655423 AWT655400:AWT655423 AMX655400:AMX655423 ADB655400:ADB655423 TF655400:TF655423 JJ655400:JJ655423 N655400:N655423 WVV589864:WVV589887 WLZ589864:WLZ589887 WCD589864:WCD589887 VSH589864:VSH589887 VIL589864:VIL589887 UYP589864:UYP589887 UOT589864:UOT589887 UEX589864:UEX589887 TVB589864:TVB589887 TLF589864:TLF589887 TBJ589864:TBJ589887 SRN589864:SRN589887 SHR589864:SHR589887 RXV589864:RXV589887 RNZ589864:RNZ589887 RED589864:RED589887 QUH589864:QUH589887 QKL589864:QKL589887 QAP589864:QAP589887 PQT589864:PQT589887 PGX589864:PGX589887 OXB589864:OXB589887 ONF589864:ONF589887 ODJ589864:ODJ589887 NTN589864:NTN589887 NJR589864:NJR589887 MZV589864:MZV589887 MPZ589864:MPZ589887 MGD589864:MGD589887 LWH589864:LWH589887 LML589864:LML589887 LCP589864:LCP589887 KST589864:KST589887 KIX589864:KIX589887 JZB589864:JZB589887 JPF589864:JPF589887 JFJ589864:JFJ589887 IVN589864:IVN589887 ILR589864:ILR589887 IBV589864:IBV589887 HRZ589864:HRZ589887 HID589864:HID589887 GYH589864:GYH589887 GOL589864:GOL589887 GEP589864:GEP589887 FUT589864:FUT589887 FKX589864:FKX589887 FBB589864:FBB589887 ERF589864:ERF589887 EHJ589864:EHJ589887 DXN589864:DXN589887 DNR589864:DNR589887 DDV589864:DDV589887 CTZ589864:CTZ589887 CKD589864:CKD589887 CAH589864:CAH589887 BQL589864:BQL589887 BGP589864:BGP589887 AWT589864:AWT589887 AMX589864:AMX589887 ADB589864:ADB589887 TF589864:TF589887 JJ589864:JJ589887 N589864:N589887 WVV524328:WVV524351 WLZ524328:WLZ524351 WCD524328:WCD524351 VSH524328:VSH524351 VIL524328:VIL524351 UYP524328:UYP524351 UOT524328:UOT524351 UEX524328:UEX524351 TVB524328:TVB524351 TLF524328:TLF524351 TBJ524328:TBJ524351 SRN524328:SRN524351 SHR524328:SHR524351 RXV524328:RXV524351 RNZ524328:RNZ524351 RED524328:RED524351 QUH524328:QUH524351 QKL524328:QKL524351 QAP524328:QAP524351 PQT524328:PQT524351 PGX524328:PGX524351 OXB524328:OXB524351 ONF524328:ONF524351 ODJ524328:ODJ524351 NTN524328:NTN524351 NJR524328:NJR524351 MZV524328:MZV524351 MPZ524328:MPZ524351 MGD524328:MGD524351 LWH524328:LWH524351 LML524328:LML524351 LCP524328:LCP524351 KST524328:KST524351 KIX524328:KIX524351 JZB524328:JZB524351 JPF524328:JPF524351 JFJ524328:JFJ524351 IVN524328:IVN524351 ILR524328:ILR524351 IBV524328:IBV524351 HRZ524328:HRZ524351 HID524328:HID524351 GYH524328:GYH524351 GOL524328:GOL524351 GEP524328:GEP524351 FUT524328:FUT524351 FKX524328:FKX524351 FBB524328:FBB524351 ERF524328:ERF524351 EHJ524328:EHJ524351 DXN524328:DXN524351 DNR524328:DNR524351 DDV524328:DDV524351 CTZ524328:CTZ524351 CKD524328:CKD524351 CAH524328:CAH524351 BQL524328:BQL524351 BGP524328:BGP524351 AWT524328:AWT524351 AMX524328:AMX524351 ADB524328:ADB524351 TF524328:TF524351 JJ524328:JJ524351 N524328:N524351 WVV458792:WVV458815 WLZ458792:WLZ458815 WCD458792:WCD458815 VSH458792:VSH458815 VIL458792:VIL458815 UYP458792:UYP458815 UOT458792:UOT458815 UEX458792:UEX458815 TVB458792:TVB458815 TLF458792:TLF458815 TBJ458792:TBJ458815 SRN458792:SRN458815 SHR458792:SHR458815 RXV458792:RXV458815 RNZ458792:RNZ458815 RED458792:RED458815 QUH458792:QUH458815 QKL458792:QKL458815 QAP458792:QAP458815 PQT458792:PQT458815 PGX458792:PGX458815 OXB458792:OXB458815 ONF458792:ONF458815 ODJ458792:ODJ458815 NTN458792:NTN458815 NJR458792:NJR458815 MZV458792:MZV458815 MPZ458792:MPZ458815 MGD458792:MGD458815 LWH458792:LWH458815 LML458792:LML458815 LCP458792:LCP458815 KST458792:KST458815 KIX458792:KIX458815 JZB458792:JZB458815 JPF458792:JPF458815 JFJ458792:JFJ458815 IVN458792:IVN458815 ILR458792:ILR458815 IBV458792:IBV458815 HRZ458792:HRZ458815 HID458792:HID458815 GYH458792:GYH458815 GOL458792:GOL458815 GEP458792:GEP458815 FUT458792:FUT458815 FKX458792:FKX458815 FBB458792:FBB458815 ERF458792:ERF458815 EHJ458792:EHJ458815 DXN458792:DXN458815 DNR458792:DNR458815 DDV458792:DDV458815 CTZ458792:CTZ458815 CKD458792:CKD458815 CAH458792:CAH458815 BQL458792:BQL458815 BGP458792:BGP458815 AWT458792:AWT458815 AMX458792:AMX458815 ADB458792:ADB458815 TF458792:TF458815 JJ458792:JJ458815 N458792:N458815 WVV393256:WVV393279 WLZ393256:WLZ393279 WCD393256:WCD393279 VSH393256:VSH393279 VIL393256:VIL393279 UYP393256:UYP393279 UOT393256:UOT393279 UEX393256:UEX393279 TVB393256:TVB393279 TLF393256:TLF393279 TBJ393256:TBJ393279 SRN393256:SRN393279 SHR393256:SHR393279 RXV393256:RXV393279 RNZ393256:RNZ393279 RED393256:RED393279 QUH393256:QUH393279 QKL393256:QKL393279 QAP393256:QAP393279 PQT393256:PQT393279 PGX393256:PGX393279 OXB393256:OXB393279 ONF393256:ONF393279 ODJ393256:ODJ393279 NTN393256:NTN393279 NJR393256:NJR393279 MZV393256:MZV393279 MPZ393256:MPZ393279 MGD393256:MGD393279 LWH393256:LWH393279 LML393256:LML393279 LCP393256:LCP393279 KST393256:KST393279 KIX393256:KIX393279 JZB393256:JZB393279 JPF393256:JPF393279 JFJ393256:JFJ393279 IVN393256:IVN393279 ILR393256:ILR393279 IBV393256:IBV393279 HRZ393256:HRZ393279 HID393256:HID393279 GYH393256:GYH393279 GOL393256:GOL393279 GEP393256:GEP393279 FUT393256:FUT393279 FKX393256:FKX393279 FBB393256:FBB393279 ERF393256:ERF393279 EHJ393256:EHJ393279 DXN393256:DXN393279 DNR393256:DNR393279 DDV393256:DDV393279 CTZ393256:CTZ393279 CKD393256:CKD393279 CAH393256:CAH393279 BQL393256:BQL393279 BGP393256:BGP393279 AWT393256:AWT393279 AMX393256:AMX393279 ADB393256:ADB393279 TF393256:TF393279 JJ393256:JJ393279 N393256:N393279 WVV327720:WVV327743 WLZ327720:WLZ327743 WCD327720:WCD327743 VSH327720:VSH327743 VIL327720:VIL327743 UYP327720:UYP327743 UOT327720:UOT327743 UEX327720:UEX327743 TVB327720:TVB327743 TLF327720:TLF327743 TBJ327720:TBJ327743 SRN327720:SRN327743 SHR327720:SHR327743 RXV327720:RXV327743 RNZ327720:RNZ327743 RED327720:RED327743 QUH327720:QUH327743 QKL327720:QKL327743 QAP327720:QAP327743 PQT327720:PQT327743 PGX327720:PGX327743 OXB327720:OXB327743 ONF327720:ONF327743 ODJ327720:ODJ327743 NTN327720:NTN327743 NJR327720:NJR327743 MZV327720:MZV327743 MPZ327720:MPZ327743 MGD327720:MGD327743 LWH327720:LWH327743 LML327720:LML327743 LCP327720:LCP327743 KST327720:KST327743 KIX327720:KIX327743 JZB327720:JZB327743 JPF327720:JPF327743 JFJ327720:JFJ327743 IVN327720:IVN327743 ILR327720:ILR327743 IBV327720:IBV327743 HRZ327720:HRZ327743 HID327720:HID327743 GYH327720:GYH327743 GOL327720:GOL327743 GEP327720:GEP327743 FUT327720:FUT327743 FKX327720:FKX327743 FBB327720:FBB327743 ERF327720:ERF327743 EHJ327720:EHJ327743 DXN327720:DXN327743 DNR327720:DNR327743 DDV327720:DDV327743 CTZ327720:CTZ327743 CKD327720:CKD327743 CAH327720:CAH327743 BQL327720:BQL327743 BGP327720:BGP327743 AWT327720:AWT327743 AMX327720:AMX327743 ADB327720:ADB327743 TF327720:TF327743 JJ327720:JJ327743 N327720:N327743 WVV262184:WVV262207 WLZ262184:WLZ262207 WCD262184:WCD262207 VSH262184:VSH262207 VIL262184:VIL262207 UYP262184:UYP262207 UOT262184:UOT262207 UEX262184:UEX262207 TVB262184:TVB262207 TLF262184:TLF262207 TBJ262184:TBJ262207 SRN262184:SRN262207 SHR262184:SHR262207 RXV262184:RXV262207 RNZ262184:RNZ262207 RED262184:RED262207 QUH262184:QUH262207 QKL262184:QKL262207 QAP262184:QAP262207 PQT262184:PQT262207 PGX262184:PGX262207 OXB262184:OXB262207 ONF262184:ONF262207 ODJ262184:ODJ262207 NTN262184:NTN262207 NJR262184:NJR262207 MZV262184:MZV262207 MPZ262184:MPZ262207 MGD262184:MGD262207 LWH262184:LWH262207 LML262184:LML262207 LCP262184:LCP262207 KST262184:KST262207 KIX262184:KIX262207 JZB262184:JZB262207 JPF262184:JPF262207 JFJ262184:JFJ262207 IVN262184:IVN262207 ILR262184:ILR262207 IBV262184:IBV262207 HRZ262184:HRZ262207 HID262184:HID262207 GYH262184:GYH262207 GOL262184:GOL262207 GEP262184:GEP262207 FUT262184:FUT262207 FKX262184:FKX262207 FBB262184:FBB262207 ERF262184:ERF262207 EHJ262184:EHJ262207 DXN262184:DXN262207 DNR262184:DNR262207 DDV262184:DDV262207 CTZ262184:CTZ262207 CKD262184:CKD262207 CAH262184:CAH262207 BQL262184:BQL262207 BGP262184:BGP262207 AWT262184:AWT262207 AMX262184:AMX262207 ADB262184:ADB262207 TF262184:TF262207 JJ262184:JJ262207 N262184:N262207 WVV196648:WVV196671 WLZ196648:WLZ196671 WCD196648:WCD196671 VSH196648:VSH196671 VIL196648:VIL196671 UYP196648:UYP196671 UOT196648:UOT196671 UEX196648:UEX196671 TVB196648:TVB196671 TLF196648:TLF196671 TBJ196648:TBJ196671 SRN196648:SRN196671 SHR196648:SHR196671 RXV196648:RXV196671 RNZ196648:RNZ196671 RED196648:RED196671 QUH196648:QUH196671 QKL196648:QKL196671 QAP196648:QAP196671 PQT196648:PQT196671 PGX196648:PGX196671 OXB196648:OXB196671 ONF196648:ONF196671 ODJ196648:ODJ196671 NTN196648:NTN196671 NJR196648:NJR196671 MZV196648:MZV196671 MPZ196648:MPZ196671 MGD196648:MGD196671 LWH196648:LWH196671 LML196648:LML196671 LCP196648:LCP196671 KST196648:KST196671 KIX196648:KIX196671 JZB196648:JZB196671 JPF196648:JPF196671 JFJ196648:JFJ196671 IVN196648:IVN196671 ILR196648:ILR196671 IBV196648:IBV196671 HRZ196648:HRZ196671 HID196648:HID196671 GYH196648:GYH196671 GOL196648:GOL196671 GEP196648:GEP196671 FUT196648:FUT196671 FKX196648:FKX196671 FBB196648:FBB196671 ERF196648:ERF196671 EHJ196648:EHJ196671 DXN196648:DXN196671 DNR196648:DNR196671 DDV196648:DDV196671 CTZ196648:CTZ196671 CKD196648:CKD196671 CAH196648:CAH196671 BQL196648:BQL196671 BGP196648:BGP196671 AWT196648:AWT196671 AMX196648:AMX196671 ADB196648:ADB196671 TF196648:TF196671 JJ196648:JJ196671 N196648:N196671 WVV131112:WVV131135 WLZ131112:WLZ131135 WCD131112:WCD131135 VSH131112:VSH131135 VIL131112:VIL131135 UYP131112:UYP131135 UOT131112:UOT131135 UEX131112:UEX131135 TVB131112:TVB131135 TLF131112:TLF131135 TBJ131112:TBJ131135 SRN131112:SRN131135 SHR131112:SHR131135 RXV131112:RXV131135 RNZ131112:RNZ131135 RED131112:RED131135 QUH131112:QUH131135 QKL131112:QKL131135 QAP131112:QAP131135 PQT131112:PQT131135 PGX131112:PGX131135 OXB131112:OXB131135 ONF131112:ONF131135 ODJ131112:ODJ131135 NTN131112:NTN131135 NJR131112:NJR131135 MZV131112:MZV131135 MPZ131112:MPZ131135 MGD131112:MGD131135 LWH131112:LWH131135 LML131112:LML131135 LCP131112:LCP131135 KST131112:KST131135 KIX131112:KIX131135 JZB131112:JZB131135 JPF131112:JPF131135 JFJ131112:JFJ131135 IVN131112:IVN131135 ILR131112:ILR131135 IBV131112:IBV131135 HRZ131112:HRZ131135 HID131112:HID131135 GYH131112:GYH131135 GOL131112:GOL131135 GEP131112:GEP131135 FUT131112:FUT131135 FKX131112:FKX131135 FBB131112:FBB131135 ERF131112:ERF131135 EHJ131112:EHJ131135 DXN131112:DXN131135 DNR131112:DNR131135 DDV131112:DDV131135 CTZ131112:CTZ131135 CKD131112:CKD131135 CAH131112:CAH131135 BQL131112:BQL131135 BGP131112:BGP131135 AWT131112:AWT131135 AMX131112:AMX131135 ADB131112:ADB131135 TF131112:TF131135 JJ131112:JJ131135 N131112:N131135 WVV65576:WVV65599 WLZ65576:WLZ65599 WCD65576:WCD65599 VSH65576:VSH65599 VIL65576:VIL65599 UYP65576:UYP65599 UOT65576:UOT65599 UEX65576:UEX65599 TVB65576:TVB65599 TLF65576:TLF65599 TBJ65576:TBJ65599 SRN65576:SRN65599 SHR65576:SHR65599 RXV65576:RXV65599 RNZ65576:RNZ65599 RED65576:RED65599 QUH65576:QUH65599 QKL65576:QKL65599 QAP65576:QAP65599 PQT65576:PQT65599 PGX65576:PGX65599 OXB65576:OXB65599 ONF65576:ONF65599 ODJ65576:ODJ65599 NTN65576:NTN65599 NJR65576:NJR65599 MZV65576:MZV65599 MPZ65576:MPZ65599 MGD65576:MGD65599 LWH65576:LWH65599 LML65576:LML65599 LCP65576:LCP65599 KST65576:KST65599 KIX65576:KIX65599 JZB65576:JZB65599 JPF65576:JPF65599 JFJ65576:JFJ65599 IVN65576:IVN65599 ILR65576:ILR65599 IBV65576:IBV65599 HRZ65576:HRZ65599 HID65576:HID65599 GYH65576:GYH65599 GOL65576:GOL65599 GEP65576:GEP65599 FUT65576:FUT65599 FKX65576:FKX65599 FBB65576:FBB65599 ERF65576:ERF65599 EHJ65576:EHJ65599 DXN65576:DXN65599 DNR65576:DNR65599 DDV65576:DDV65599 CTZ65576:CTZ65599 CKD65576:CKD65599 CAH65576:CAH65599 BQL65576:BQL65599 BGP65576:BGP65599 AWT65576:AWT65599 AMX65576:AMX65599 ADB65576:ADB65599 TF65576:TF65599 JJ65576:JJ65599 N65576:N65599 WVV40:WVV63 WLZ40:WLZ63 WCD40:WCD63 VSH40:VSH63 VIL40:VIL63 UYP40:UYP63 UOT40:UOT63 UEX40:UEX63 TVB40:TVB63 TLF40:TLF63 TBJ40:TBJ63 SRN40:SRN63 SHR40:SHR63 RXV40:RXV63 RNZ40:RNZ63 RED40:RED63 QUH40:QUH63 QKL40:QKL63 QAP40:QAP63 PQT40:PQT63 PGX40:PGX63 OXB40:OXB63 ONF40:ONF63 ODJ40:ODJ63 NTN40:NTN63 NJR40:NJR63 MZV40:MZV63 MPZ40:MPZ63 MGD40:MGD63 LWH40:LWH63 LML40:LML63 LCP40:LCP63 KST40:KST63 KIX40:KIX63 JZB40:JZB63 JPF40:JPF63 JFJ40:JFJ63 IVN40:IVN63 ILR40:ILR63 IBV40:IBV63 HRZ40:HRZ63 HID40:HID63 GYH40:GYH63 GOL40:GOL63 GEP40:GEP63 FUT40:FUT63 FKX40:FKX63 FBB40:FBB63 ERF40:ERF63 EHJ40:EHJ63 DXN40:DXN63 DNR40:DNR63 DDV40:DDV63 CTZ40:CTZ63 CKD40:CKD63 CAH40:CAH63 BQL40:BQL63 BGP40:BGP63 AWT40:AWT63 AMX40:AMX63 ADB40:ADB63 TF40:TF63 JJ40:JJ63">
      <formula1>Status1</formula1>
    </dataValidation>
  </dataValidations>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sheetPr codeName="Sheet9"/>
  <dimension ref="A1:BA100"/>
  <sheetViews>
    <sheetView topLeftCell="A10" workbookViewId="0">
      <selection activeCell="E37" sqref="E37"/>
    </sheetView>
  </sheetViews>
  <sheetFormatPr defaultColWidth="9.125" defaultRowHeight="12.75"/>
  <cols>
    <col min="1" max="1" width="3.75" style="1" customWidth="1"/>
    <col min="2" max="2" width="10.125" style="2" bestFit="1" customWidth="1"/>
    <col min="3" max="3" width="10.875" style="2" customWidth="1"/>
    <col min="4" max="4" width="44.25" style="2" customWidth="1"/>
    <col min="5" max="5" width="9.375" style="2" customWidth="1"/>
    <col min="6" max="6" width="8.75" style="2" customWidth="1"/>
    <col min="7" max="7" width="13.875" style="3" customWidth="1"/>
    <col min="8" max="8" width="9.125" style="3" customWidth="1"/>
    <col min="9" max="9" width="5.375" style="3" customWidth="1"/>
    <col min="10" max="10" width="5.125" style="3" customWidth="1"/>
    <col min="11" max="11" width="10.125" style="3" customWidth="1"/>
    <col min="12" max="15" width="3.125" style="3" bestFit="1" customWidth="1"/>
    <col min="16" max="16" width="8.375" style="3" bestFit="1" customWidth="1"/>
    <col min="17" max="17" width="3.125" style="3" bestFit="1" customWidth="1"/>
    <col min="18" max="18" width="3.125" style="2" bestFit="1" customWidth="1"/>
    <col min="19" max="19" width="3.875" style="2" customWidth="1"/>
    <col min="20" max="20" width="14.25" style="1" bestFit="1" customWidth="1"/>
    <col min="21" max="21" width="3.625" style="1" bestFit="1" customWidth="1"/>
    <col min="22" max="22" width="5.75" style="1" bestFit="1" customWidth="1"/>
    <col min="23" max="23" width="3.625" style="1" customWidth="1"/>
    <col min="24" max="53" width="3" style="1" customWidth="1"/>
    <col min="54" max="16384" width="9.125" style="1"/>
  </cols>
  <sheetData>
    <row r="1" spans="1:53">
      <c r="A1" s="7"/>
      <c r="B1" s="8"/>
      <c r="C1" s="8"/>
      <c r="D1" s="8"/>
      <c r="E1" s="8"/>
      <c r="F1" s="8"/>
      <c r="G1" s="9"/>
      <c r="H1" s="9"/>
      <c r="I1" s="9"/>
      <c r="J1" s="9"/>
      <c r="K1" s="9"/>
      <c r="L1" s="9"/>
      <c r="M1" s="9"/>
      <c r="N1" s="9"/>
      <c r="O1" s="9"/>
      <c r="P1" s="9"/>
      <c r="Q1" s="9"/>
      <c r="R1" s="8"/>
      <c r="S1" s="8"/>
      <c r="T1" s="7"/>
      <c r="U1" s="7"/>
      <c r="V1" s="7"/>
      <c r="W1" s="7"/>
      <c r="X1" s="7"/>
      <c r="Y1" s="7"/>
      <c r="Z1" s="7"/>
      <c r="AA1" s="7"/>
      <c r="AB1" s="7"/>
      <c r="AC1" s="7"/>
      <c r="AD1" s="7"/>
      <c r="AE1" s="7"/>
      <c r="AF1" s="7"/>
      <c r="AG1" s="7"/>
      <c r="AH1" s="7"/>
      <c r="AI1" s="7"/>
      <c r="AJ1" s="7"/>
      <c r="AK1" s="7"/>
      <c r="AL1" s="7"/>
      <c r="AM1" s="7"/>
      <c r="AN1" s="7"/>
      <c r="AO1" s="7"/>
      <c r="AP1" s="7"/>
    </row>
    <row r="2" spans="1:53" ht="15.75">
      <c r="A2" s="7"/>
      <c r="B2" s="50" t="s">
        <v>58</v>
      </c>
      <c r="C2" s="8"/>
      <c r="D2" s="8"/>
      <c r="E2" s="30" t="str">
        <f ca="1">MID(CELL("Filename",A1),FIND("]",CELL("Filename",A1))+1,255)</f>
        <v>Sp3</v>
      </c>
      <c r="F2" s="8"/>
      <c r="G2" s="9"/>
      <c r="H2" s="9"/>
      <c r="I2" s="9"/>
      <c r="J2" s="9"/>
      <c r="K2" s="9"/>
      <c r="L2" s="9"/>
      <c r="M2" s="9"/>
      <c r="N2" s="9"/>
      <c r="O2" s="9"/>
      <c r="P2" s="9"/>
      <c r="Q2" s="9"/>
      <c r="R2" s="8"/>
      <c r="S2" s="8"/>
      <c r="T2" s="29" t="s">
        <v>0</v>
      </c>
      <c r="U2" s="7"/>
      <c r="V2" s="7"/>
      <c r="W2" s="7"/>
      <c r="X2" s="7"/>
      <c r="Y2" s="7"/>
      <c r="Z2" s="7"/>
      <c r="AA2" s="7"/>
      <c r="AB2" s="7"/>
      <c r="AC2" s="7"/>
      <c r="AD2" s="7"/>
      <c r="AE2" s="7"/>
      <c r="AF2" s="7"/>
      <c r="AG2" s="7"/>
      <c r="AH2" s="7"/>
      <c r="AI2" s="7"/>
      <c r="AJ2" s="7"/>
      <c r="AK2" s="7"/>
      <c r="AL2" s="7"/>
      <c r="AM2" s="7"/>
      <c r="AN2" s="7"/>
      <c r="AO2" s="7"/>
      <c r="AP2" s="7"/>
    </row>
    <row r="3" spans="1:53">
      <c r="A3" s="7"/>
      <c r="B3" s="8"/>
      <c r="C3" s="8"/>
      <c r="D3" s="8"/>
      <c r="E3" s="8"/>
      <c r="F3" s="8"/>
      <c r="G3" s="9"/>
      <c r="H3" s="9"/>
      <c r="I3" s="9"/>
      <c r="J3" s="9"/>
      <c r="K3" s="9"/>
      <c r="L3" s="9"/>
      <c r="M3" s="9"/>
      <c r="N3" s="9"/>
      <c r="O3" s="9"/>
      <c r="P3" s="9"/>
      <c r="Q3" s="9"/>
      <c r="R3" s="8"/>
      <c r="S3" s="8"/>
      <c r="T3" s="16" t="s">
        <v>36</v>
      </c>
      <c r="U3" s="39">
        <f>COUNTIF(P40:P56,T3)</f>
        <v>0</v>
      </c>
      <c r="V3" s="7"/>
      <c r="W3" s="7"/>
      <c r="X3" s="7"/>
      <c r="Y3" s="7"/>
      <c r="Z3" s="7"/>
      <c r="AA3" s="7"/>
      <c r="AB3" s="7"/>
      <c r="AC3" s="7"/>
      <c r="AD3" s="7"/>
      <c r="AE3" s="7"/>
      <c r="AF3" s="7"/>
      <c r="AG3" s="7"/>
      <c r="AH3" s="7"/>
      <c r="AI3" s="7"/>
      <c r="AJ3" s="7"/>
      <c r="AK3" s="7"/>
      <c r="AL3" s="7"/>
      <c r="AM3" s="7"/>
      <c r="AN3" s="7"/>
      <c r="AO3" s="7"/>
      <c r="AP3" s="7"/>
    </row>
    <row r="4" spans="1:53">
      <c r="A4" s="7"/>
      <c r="B4" s="8"/>
      <c r="C4" s="8"/>
      <c r="D4" s="8"/>
      <c r="E4" s="8"/>
      <c r="F4" s="8"/>
      <c r="G4" s="9"/>
      <c r="H4" s="9"/>
      <c r="I4" s="9"/>
      <c r="J4" s="9"/>
      <c r="K4" s="9"/>
      <c r="L4" s="9"/>
      <c r="M4" s="9"/>
      <c r="N4" s="9"/>
      <c r="O4" s="9"/>
      <c r="P4" s="9"/>
      <c r="Q4" s="9"/>
      <c r="R4" s="8"/>
      <c r="S4" s="8"/>
      <c r="T4" s="16" t="s">
        <v>35</v>
      </c>
      <c r="U4" s="39">
        <f>COUNTIF(P40:P61,T4)</f>
        <v>0</v>
      </c>
      <c r="V4" s="7"/>
      <c r="W4" s="7"/>
      <c r="X4" s="7"/>
      <c r="Y4" s="7"/>
      <c r="Z4" s="7"/>
      <c r="AA4" s="7"/>
      <c r="AB4" s="7"/>
      <c r="AC4" s="7"/>
      <c r="AD4" s="7"/>
      <c r="AE4" s="7"/>
      <c r="AF4" s="7"/>
      <c r="AG4" s="7"/>
      <c r="AH4" s="7"/>
      <c r="AI4" s="7"/>
      <c r="AJ4" s="7"/>
      <c r="AK4" s="7"/>
      <c r="AL4" s="7"/>
      <c r="AM4" s="7"/>
      <c r="AN4" s="7"/>
      <c r="AO4" s="7"/>
      <c r="AP4" s="7"/>
    </row>
    <row r="5" spans="1:53">
      <c r="A5" s="7"/>
      <c r="B5" s="8"/>
      <c r="C5" s="8"/>
      <c r="D5" s="8"/>
      <c r="E5" s="8"/>
      <c r="F5" s="8"/>
      <c r="G5" s="9"/>
      <c r="H5" s="9"/>
      <c r="I5" s="9"/>
      <c r="J5" s="9"/>
      <c r="K5" s="9"/>
      <c r="L5" s="9"/>
      <c r="M5" s="9"/>
      <c r="N5" s="9"/>
      <c r="O5" s="9"/>
      <c r="P5" s="9"/>
      <c r="Q5" s="9"/>
      <c r="R5" s="8"/>
      <c r="S5" s="8"/>
      <c r="T5" s="16" t="s">
        <v>34</v>
      </c>
      <c r="U5" s="39">
        <f>COUNTIF(P40:P62,T5)</f>
        <v>0</v>
      </c>
      <c r="V5" s="7"/>
      <c r="W5" s="7"/>
      <c r="X5" s="7"/>
      <c r="Y5" s="7"/>
      <c r="Z5" s="7"/>
      <c r="AA5" s="7"/>
      <c r="AB5" s="7"/>
      <c r="AC5" s="7"/>
      <c r="AD5" s="7"/>
      <c r="AE5" s="7"/>
      <c r="AF5" s="7"/>
      <c r="AG5" s="7"/>
      <c r="AH5" s="7"/>
      <c r="AI5" s="7"/>
      <c r="AJ5" s="7"/>
      <c r="AK5" s="7"/>
      <c r="AL5" s="7"/>
      <c r="AM5" s="7"/>
      <c r="AN5" s="7"/>
      <c r="AO5" s="7"/>
      <c r="AP5" s="7"/>
    </row>
    <row r="6" spans="1:53">
      <c r="A6" s="7"/>
      <c r="B6" s="8"/>
      <c r="C6" s="8"/>
      <c r="D6" s="8"/>
      <c r="E6" s="8"/>
      <c r="F6" s="8"/>
      <c r="G6" s="9"/>
      <c r="H6" s="9"/>
      <c r="I6" s="9"/>
      <c r="J6" s="9"/>
      <c r="K6" s="9"/>
      <c r="L6" s="9"/>
      <c r="M6" s="9"/>
      <c r="N6" s="9"/>
      <c r="O6" s="9"/>
      <c r="P6" s="9"/>
      <c r="Q6" s="9"/>
      <c r="R6" s="8"/>
      <c r="S6" s="8"/>
      <c r="T6" s="16" t="s">
        <v>33</v>
      </c>
      <c r="U6" s="39">
        <f>COUNTIF(P40:P63,T6)</f>
        <v>0</v>
      </c>
      <c r="V6" s="7"/>
      <c r="W6" s="7"/>
      <c r="X6" s="7"/>
      <c r="Y6" s="7"/>
      <c r="Z6" s="7"/>
      <c r="AA6" s="7"/>
      <c r="AB6" s="7"/>
      <c r="AC6" s="7"/>
      <c r="AD6" s="7"/>
      <c r="AE6" s="7"/>
      <c r="AF6" s="7"/>
      <c r="AG6" s="7"/>
      <c r="AH6" s="7"/>
      <c r="AI6" s="7"/>
      <c r="AJ6" s="7"/>
      <c r="AK6" s="7"/>
      <c r="AL6" s="7"/>
      <c r="AM6" s="7"/>
      <c r="AN6" s="7"/>
      <c r="AO6" s="7"/>
      <c r="AP6" s="7"/>
    </row>
    <row r="7" spans="1:53">
      <c r="A7" s="7"/>
      <c r="B7" s="8"/>
      <c r="C7" s="8"/>
      <c r="D7" s="8"/>
      <c r="E7" s="8"/>
      <c r="F7" s="8"/>
      <c r="G7" s="9"/>
      <c r="H7" s="9"/>
      <c r="I7" s="9"/>
      <c r="J7" s="9"/>
      <c r="K7" s="9"/>
      <c r="L7" s="9"/>
      <c r="M7" s="9"/>
      <c r="N7" s="9"/>
      <c r="O7" s="9"/>
      <c r="P7" s="9"/>
      <c r="Q7" s="9"/>
      <c r="R7" s="8"/>
      <c r="S7" s="8"/>
      <c r="T7" s="16"/>
      <c r="U7" s="39">
        <f>COUNTIF(P40:P64,T7)</f>
        <v>0</v>
      </c>
      <c r="V7" s="7"/>
      <c r="W7" s="7"/>
      <c r="X7" s="7"/>
      <c r="Y7" s="7"/>
      <c r="Z7" s="7"/>
      <c r="AA7" s="7"/>
      <c r="AB7" s="7"/>
      <c r="AC7" s="7"/>
      <c r="AD7" s="7"/>
      <c r="AE7" s="7"/>
      <c r="AF7" s="7"/>
      <c r="AG7" s="7"/>
      <c r="AH7" s="7"/>
      <c r="AI7" s="7"/>
      <c r="AJ7" s="7"/>
      <c r="AK7" s="7"/>
      <c r="AL7" s="7"/>
      <c r="AM7" s="7"/>
      <c r="AN7" s="7"/>
      <c r="AO7" s="7"/>
      <c r="AP7" s="7"/>
    </row>
    <row r="8" spans="1:53">
      <c r="A8" s="7"/>
      <c r="B8" s="8"/>
      <c r="C8" s="8"/>
      <c r="D8" s="8"/>
      <c r="E8" s="8"/>
      <c r="F8" s="8"/>
      <c r="G8" s="9"/>
      <c r="H8" s="9"/>
      <c r="I8" s="9"/>
      <c r="J8" s="9"/>
      <c r="K8" s="9"/>
      <c r="L8" s="9"/>
      <c r="M8" s="9"/>
      <c r="N8" s="9"/>
      <c r="O8" s="9"/>
      <c r="P8" s="9"/>
      <c r="Q8" s="9"/>
      <c r="R8" s="8"/>
      <c r="S8" s="8"/>
      <c r="T8" s="16" t="s">
        <v>32</v>
      </c>
      <c r="U8" s="39">
        <f>SUM(U3:U7)</f>
        <v>0</v>
      </c>
      <c r="V8" s="7"/>
      <c r="W8" s="7"/>
      <c r="X8" s="7"/>
      <c r="Y8" s="7"/>
      <c r="Z8" s="7"/>
      <c r="AA8" s="7"/>
      <c r="AB8" s="7"/>
      <c r="AC8" s="7"/>
      <c r="AD8" s="7"/>
      <c r="AE8" s="7"/>
      <c r="AF8" s="7"/>
      <c r="AG8" s="7"/>
      <c r="AH8" s="7"/>
      <c r="AI8" s="7"/>
      <c r="AJ8" s="7"/>
      <c r="AK8" s="7"/>
      <c r="AL8" s="7"/>
      <c r="AM8" s="7"/>
      <c r="AN8" s="7"/>
      <c r="AO8" s="7"/>
      <c r="AP8" s="7"/>
    </row>
    <row r="9" spans="1:53" ht="15.75" thickBot="1">
      <c r="A9" s="7"/>
      <c r="B9" s="8"/>
      <c r="C9" s="8"/>
      <c r="D9" s="8"/>
      <c r="E9" s="8"/>
      <c r="F9" s="8"/>
      <c r="G9" s="9"/>
      <c r="H9" s="9"/>
      <c r="I9" s="9"/>
      <c r="J9" s="9"/>
      <c r="K9" s="9"/>
      <c r="L9" s="9"/>
      <c r="M9" s="9"/>
      <c r="N9" s="9"/>
      <c r="O9" s="9"/>
      <c r="P9" s="9"/>
      <c r="Q9" s="9"/>
      <c r="R9" s="8"/>
      <c r="S9" s="8"/>
      <c r="T9" s="29" t="s">
        <v>31</v>
      </c>
      <c r="U9" s="7"/>
      <c r="V9" s="7"/>
      <c r="W9" s="7"/>
      <c r="X9" s="7"/>
      <c r="Y9" s="7"/>
      <c r="Z9" s="7"/>
      <c r="AA9" s="7"/>
      <c r="AB9" s="7"/>
      <c r="AC9" s="7"/>
      <c r="AD9" s="7"/>
      <c r="AE9" s="7"/>
      <c r="AF9" s="7"/>
      <c r="AG9" s="7"/>
      <c r="AH9" s="7"/>
      <c r="AI9" s="7"/>
      <c r="AJ9" s="7"/>
      <c r="AK9" s="7"/>
      <c r="AL9" s="7"/>
      <c r="AM9" s="7"/>
      <c r="AN9" s="7"/>
      <c r="AO9" s="7"/>
      <c r="AP9" s="7"/>
    </row>
    <row r="10" spans="1:53">
      <c r="A10" s="7"/>
      <c r="B10" s="20" t="s">
        <v>53</v>
      </c>
      <c r="C10" s="19"/>
      <c r="D10" s="8"/>
      <c r="E10" s="8"/>
      <c r="F10" s="8"/>
      <c r="G10" s="9"/>
      <c r="H10" s="9"/>
      <c r="I10" s="9"/>
      <c r="J10" s="9"/>
      <c r="K10" s="9"/>
      <c r="L10" s="9"/>
      <c r="M10" s="9"/>
      <c r="N10" s="9"/>
      <c r="O10" s="9"/>
      <c r="P10" s="9"/>
      <c r="Q10" s="9"/>
      <c r="R10" s="8"/>
      <c r="S10" s="8"/>
      <c r="T10" s="35" t="s">
        <v>30</v>
      </c>
      <c r="U10" s="40" t="s">
        <v>48</v>
      </c>
      <c r="V10" s="41" t="s">
        <v>49</v>
      </c>
      <c r="W10" s="38">
        <f>DAY(L39)</f>
        <v>23</v>
      </c>
      <c r="X10" s="31">
        <f t="shared" ref="X10:BA10" si="0">IF(LEN(TRIM(M39)) &lt;&gt; 0, DAY(M39),"")</f>
        <v>24</v>
      </c>
      <c r="Y10" s="31">
        <f t="shared" si="0"/>
        <v>25</v>
      </c>
      <c r="Z10" s="31">
        <f t="shared" si="0"/>
        <v>26</v>
      </c>
      <c r="AA10" s="31">
        <f t="shared" si="0"/>
        <v>27</v>
      </c>
      <c r="AB10" s="31" t="str">
        <f t="shared" si="0"/>
        <v/>
      </c>
      <c r="AC10" s="31" t="str">
        <f t="shared" si="0"/>
        <v/>
      </c>
      <c r="AD10" s="31" t="str">
        <f t="shared" si="0"/>
        <v/>
      </c>
      <c r="AE10" s="31" t="str">
        <f t="shared" si="0"/>
        <v/>
      </c>
      <c r="AF10" s="31" t="str">
        <f t="shared" si="0"/>
        <v/>
      </c>
      <c r="AG10" s="31" t="str">
        <f t="shared" si="0"/>
        <v/>
      </c>
      <c r="AH10" s="31" t="str">
        <f t="shared" si="0"/>
        <v/>
      </c>
      <c r="AI10" s="31" t="str">
        <f t="shared" si="0"/>
        <v/>
      </c>
      <c r="AJ10" s="31" t="str">
        <f t="shared" si="0"/>
        <v/>
      </c>
      <c r="AK10" s="31" t="str">
        <f t="shared" si="0"/>
        <v/>
      </c>
      <c r="AL10" s="31" t="str">
        <f t="shared" si="0"/>
        <v/>
      </c>
      <c r="AM10" s="31" t="str">
        <f t="shared" si="0"/>
        <v/>
      </c>
      <c r="AN10" s="31" t="str">
        <f t="shared" si="0"/>
        <v/>
      </c>
      <c r="AO10" s="31" t="str">
        <f t="shared" si="0"/>
        <v/>
      </c>
      <c r="AP10" s="31" t="str">
        <f t="shared" si="0"/>
        <v/>
      </c>
      <c r="AQ10" s="31" t="str">
        <f t="shared" si="0"/>
        <v/>
      </c>
      <c r="AR10" s="31" t="str">
        <f t="shared" si="0"/>
        <v/>
      </c>
      <c r="AS10" s="31" t="str">
        <f t="shared" si="0"/>
        <v/>
      </c>
      <c r="AT10" s="31" t="str">
        <f t="shared" si="0"/>
        <v/>
      </c>
      <c r="AU10" s="31" t="str">
        <f t="shared" si="0"/>
        <v/>
      </c>
      <c r="AV10" s="31" t="str">
        <f t="shared" si="0"/>
        <v/>
      </c>
      <c r="AW10" s="31" t="str">
        <f t="shared" si="0"/>
        <v/>
      </c>
      <c r="AX10" s="31" t="str">
        <f t="shared" si="0"/>
        <v/>
      </c>
      <c r="AY10" s="31" t="str">
        <f t="shared" si="0"/>
        <v/>
      </c>
      <c r="AZ10" s="31" t="str">
        <f>IF(LEN(TRIM(AO39)) &lt;&gt; 0, DAY(AO39),"")</f>
        <v/>
      </c>
      <c r="BA10" s="31" t="str">
        <f t="shared" si="0"/>
        <v/>
      </c>
    </row>
    <row r="11" spans="1:53">
      <c r="A11" s="7"/>
      <c r="B11" s="18" t="s">
        <v>55</v>
      </c>
      <c r="C11" s="42" t="str">
        <f ca="1">MID(CELL("Filename",A1),FIND("]",CELL("Filename",A1))+1,255)</f>
        <v>Sp3</v>
      </c>
      <c r="D11" s="8"/>
      <c r="E11" s="8"/>
      <c r="F11" s="8"/>
      <c r="G11" s="9"/>
      <c r="H11" s="9"/>
      <c r="I11" s="9"/>
      <c r="J11" s="9"/>
      <c r="K11" s="9"/>
      <c r="L11" s="9"/>
      <c r="M11" s="9"/>
      <c r="N11" s="9"/>
      <c r="O11" s="9"/>
      <c r="P11" s="9"/>
      <c r="Q11" s="9"/>
      <c r="R11" s="8"/>
      <c r="S11" s="8"/>
      <c r="T11" s="36" t="str">
        <f>Data!B2</f>
        <v>SungeunKim</v>
      </c>
      <c r="U11" s="54">
        <f ca="1">SUMIF($G$40:$I$232,$T11,$I$40:$I$232)</f>
        <v>0</v>
      </c>
      <c r="V11" s="55">
        <f ca="1">SUMIF($G$40:$J$232,$T11,$J$40:$J$232)</f>
        <v>0</v>
      </c>
      <c r="W11" s="56">
        <f ca="1">IF(LEN(TRIM(W$10))&lt;&gt;0, SUMIF($G$40:$AP$232,$T11,$L$40:$L$232),"")</f>
        <v>0</v>
      </c>
      <c r="X11" s="57">
        <f ca="1">IF(LEN(TRIM(X$10))&lt;&gt;0, SUMIF($G$40:$AP$232,$T11,$M$40:$M$232),"")</f>
        <v>0</v>
      </c>
      <c r="Y11" s="57">
        <f ca="1">IF(LEN(TRIM(Y$10))&lt;&gt;0, SUMIF($G$40:$AP$232,$T11,$N$40:$N$232),"")</f>
        <v>0</v>
      </c>
      <c r="Z11" s="57">
        <f ca="1">IF(LEN(TRIM(Z$10))&lt;&gt;0, SUMIF($G$40:$AP$232,$T11,$O$40:$O$232),"")</f>
        <v>0</v>
      </c>
      <c r="AA11" s="57">
        <f ca="1">IF(LEN(TRIM(AA$10))&lt;&gt;0, SUMIF($G$40:$AP$232,$T11,$P$40:$P$232),"")</f>
        <v>0</v>
      </c>
      <c r="AB11" s="57" t="str">
        <f>IF(LEN(TRIM(AB$10))&lt;&gt;0, SUMIF($G$40:$AP$232,$T11,$Q$40:$Q$232),"")</f>
        <v/>
      </c>
      <c r="AC11" s="57" t="str">
        <f>IF(LEN(TRIM(AC$10))&lt;&gt;0, SUMIF($G$40:$AP$232,$T11,$R$40:$R$232),"")</f>
        <v/>
      </c>
      <c r="AD11" s="57" t="str">
        <f>IF(LEN(TRIM(AD$10))&lt;&gt;0, SUMIF($G$40:$AP$232,$T11,$S$40:$S$232),"")</f>
        <v/>
      </c>
      <c r="AE11" s="57" t="str">
        <f>IF(LEN(TRIM(AE$10))&lt;&gt;0, SUMIF($G$40:$AP$232,$T11,$T$40:$T$232),"")</f>
        <v/>
      </c>
      <c r="AF11" s="57" t="str">
        <f>IF(LEN(TRIM(AF$10))&lt;&gt;0, SUMIF($G$40:$AP$232,$T11,$U$40:$U$232),"")</f>
        <v/>
      </c>
      <c r="AG11" s="57" t="str">
        <f>IF(LEN(TRIM(AG$10))&lt;&gt;0, SUMIF($G$40:$AP$232,$T11,$V$40:$V$232),"")</f>
        <v/>
      </c>
      <c r="AH11" s="57" t="str">
        <f>IF(LEN(TRIM(AH$10))&lt;&gt;0, SUMIF($G$40:$AP$232,$T11,$W$40:$W$232),"")</f>
        <v/>
      </c>
      <c r="AI11" s="57" t="str">
        <f>IF(LEN(TRIM(AI$10))&lt;&gt;0, SUMIF($G$40:$AP$232,$T11,$X$40:$X$232),"")</f>
        <v/>
      </c>
      <c r="AJ11" s="57" t="str">
        <f>IF(LEN(TRIM(AJ$10))&lt;&gt;0, SUMIF($G$40:$AP$232,$T11,$Y$40:$Y$232),"")</f>
        <v/>
      </c>
      <c r="AK11" s="57" t="str">
        <f>IF(LEN(TRIM(AK$10))&lt;&gt;0, SUMIF($G$40:$AP$232,$T11,$Z$40:$Z$232),"")</f>
        <v/>
      </c>
      <c r="AL11" s="57" t="str">
        <f>IF(LEN(TRIM(AL$10))&lt;&gt;0, SUMIF($G$40:$AP$232,$T11,$AA$40:$AA$232),"")</f>
        <v/>
      </c>
      <c r="AM11" s="57" t="str">
        <f>IF(LEN(TRIM(AM$10))&lt;&gt;0, SUMIF($G$40:$AP$232,$T11,$AB$40:$AB$232),"")</f>
        <v/>
      </c>
      <c r="AN11" s="57" t="str">
        <f>IF(LEN(TRIM(AN$10))&lt;&gt;0, SUMIF($G$40:$AP$232,$T11,$AC$40:$AC$232),"")</f>
        <v/>
      </c>
      <c r="AO11" s="57" t="str">
        <f>IF(LEN(TRIM(AO$10))&lt;&gt;0, SUMIF($G$40:$AP$232,$T11,$AD$40:$AD$232),"")</f>
        <v/>
      </c>
      <c r="AP11" s="57" t="str">
        <f>IF(LEN(TRIM(AP$10))&lt;&gt;0, SUMIF($G$40:$AP$232,$T11,$AE$40:$AE$232),"")</f>
        <v/>
      </c>
      <c r="AQ11" s="57" t="str">
        <f>IF(LEN(TRIM(AQ$10))&lt;&gt;0, SUMIF($G$40:$AP$232,$T11,$AF$40:$AF$232),"")</f>
        <v/>
      </c>
      <c r="AR11" s="57" t="str">
        <f>IF(LEN(TRIM(AR$10))&lt;&gt;0, SUMIF($G$40:$AP$232,$T11,$AG$40:$AG$232),"")</f>
        <v/>
      </c>
      <c r="AS11" s="57" t="str">
        <f>IF(LEN(TRIM(AS$10))&lt;&gt;0, SUMIF($G$40:$AP$232,$T11,$AH$40:$AH$232),"")</f>
        <v/>
      </c>
      <c r="AT11" s="57" t="str">
        <f>IF(LEN(TRIM(AT$10))&lt;&gt;0, SUMIF($G$40:$AP$232,$T11,$AI$40:$AI$232),"")</f>
        <v/>
      </c>
      <c r="AU11" s="57" t="str">
        <f>IF(LEN(TRIM(AU$10))&lt;&gt;0, SUMIF($G$40:$AP$232,$T11,$AJ$40:$AJ$232),"")</f>
        <v/>
      </c>
      <c r="AV11" s="57" t="str">
        <f>IF(LEN(TRIM(AV$10))&lt;&gt;0, SUMIF($G$40:$AP$232,$T11,$AK$40:$AK$232),"")</f>
        <v/>
      </c>
      <c r="AW11" s="57" t="str">
        <f>IF(LEN(TRIM(AW$10))&lt;&gt;0, SUMIF($G$40:$AP$232,$T11,$AL$40:$AL$232),"")</f>
        <v/>
      </c>
      <c r="AX11" s="57" t="str">
        <f>IF(LEN(TRIM(AX$10))&lt;&gt;0, SUMIF($G$40:$AP$232,$T11,$AM$40:$AM$232),"")</f>
        <v/>
      </c>
      <c r="AY11" s="57" t="str">
        <f>IF(LEN(TRIM(AY$10))&lt;&gt;0, SUMIF($G$40:$AP$232,$T11,$AN$40:$AN$232),"")</f>
        <v/>
      </c>
      <c r="AZ11" s="57" t="str">
        <f>IF(LEN(TRIM(AZ$10))&lt;&gt;0, SUMIF($G$40:$AP$232,$T11,$AO$40:$AO$232),"")</f>
        <v/>
      </c>
      <c r="BA11" s="57" t="str">
        <f>IF(LEN(TRIM(BA$10))&lt;&gt;0, SUMIF($G$40:$AP$232,$T11,$AP$40:$AP$232),"")</f>
        <v/>
      </c>
    </row>
    <row r="12" spans="1:53">
      <c r="A12" s="7"/>
      <c r="B12" s="18" t="s">
        <v>50</v>
      </c>
      <c r="C12" s="42">
        <v>5</v>
      </c>
      <c r="D12" s="8"/>
      <c r="E12" s="8"/>
      <c r="F12" s="8"/>
      <c r="G12" s="9"/>
      <c r="H12" s="9"/>
      <c r="I12" s="9"/>
      <c r="J12" s="9"/>
      <c r="K12" s="9"/>
      <c r="L12" s="9"/>
      <c r="M12" s="9"/>
      <c r="N12" s="9"/>
      <c r="O12" s="9"/>
      <c r="P12" s="9"/>
      <c r="Q12" s="9"/>
      <c r="R12" s="8"/>
      <c r="S12" s="8"/>
      <c r="T12" s="36" t="str">
        <f>Data!B3</f>
        <v>TommyPark</v>
      </c>
      <c r="U12" s="54">
        <f t="shared" ref="U12:U22" ca="1" si="1">SUMIF($G$40:$I$232,$T12,$I$40:$I$232)</f>
        <v>0</v>
      </c>
      <c r="V12" s="55">
        <f t="shared" ref="V12:V22" ca="1" si="2">SUMIF($G$40:$J$232,$T12,$J$40:$J$232)</f>
        <v>0</v>
      </c>
      <c r="W12" s="56">
        <f t="shared" ref="W12:W22" ca="1" si="3">IF(LEN(TRIM(W$10))&lt;&gt;0, SUMIF($G$40:$AP$232,$T12,$L$40:$L$232),"")</f>
        <v>0</v>
      </c>
      <c r="X12" s="57">
        <f t="shared" ref="X12:X22" ca="1" si="4">IF(LEN(TRIM(X$10))&lt;&gt;0, SUMIF($G$40:$AP$232,$T12,$M$40:$M$232),"")</f>
        <v>0</v>
      </c>
      <c r="Y12" s="57">
        <f t="shared" ref="Y12:Y22" ca="1" si="5">IF(LEN(TRIM(Y$10))&lt;&gt;0, SUMIF($G$40:$AP$232,$T12,$N$40:$N$232),"")</f>
        <v>0</v>
      </c>
      <c r="Z12" s="57">
        <f t="shared" ref="Z12:Z22" ca="1" si="6">IF(LEN(TRIM(Z$10))&lt;&gt;0, SUMIF($G$40:$AP$232,$T12,$O$40:$O$232),"")</f>
        <v>0</v>
      </c>
      <c r="AA12" s="57">
        <f t="shared" ref="AA12:AA22" ca="1" si="7">IF(LEN(TRIM(AA$10))&lt;&gt;0, SUMIF($G$40:$AP$232,$T12,$P$40:$P$232),"")</f>
        <v>0</v>
      </c>
      <c r="AB12" s="57" t="str">
        <f t="shared" ref="AB12:AB22" si="8">IF(LEN(TRIM(AB$10))&lt;&gt;0, SUMIF($G$40:$AP$232,$T12,$Q$40:$Q$232),"")</f>
        <v/>
      </c>
      <c r="AC12" s="57" t="str">
        <f t="shared" ref="AC12:AC22" si="9">IF(LEN(TRIM(AC$10))&lt;&gt;0, SUMIF($G$40:$AP$232,$T12,$R$40:$R$232),"")</f>
        <v/>
      </c>
      <c r="AD12" s="57" t="str">
        <f t="shared" ref="AD12:AD22" si="10">IF(LEN(TRIM(AD$10))&lt;&gt;0, SUMIF($G$40:$AP$232,$T12,$S$40:$S$232),"")</f>
        <v/>
      </c>
      <c r="AE12" s="57" t="str">
        <f t="shared" ref="AE12:AE22" si="11">IF(LEN(TRIM(AE$10))&lt;&gt;0, SUMIF($G$40:$AP$232,$T12,$T$40:$T$232),"")</f>
        <v/>
      </c>
      <c r="AF12" s="57" t="str">
        <f t="shared" ref="AF12:AF22" si="12">IF(LEN(TRIM(AF$10))&lt;&gt;0, SUMIF($G$40:$AP$232,$T12,$U$40:$U$232),"")</f>
        <v/>
      </c>
      <c r="AG12" s="57" t="str">
        <f t="shared" ref="AG12:AG22" si="13">IF(LEN(TRIM(AG$10))&lt;&gt;0, SUMIF($G$40:$AP$232,$T12,$V$40:$V$232),"")</f>
        <v/>
      </c>
      <c r="AH12" s="57" t="str">
        <f t="shared" ref="AH12:AH22" si="14">IF(LEN(TRIM(AH$10))&lt;&gt;0, SUMIF($G$40:$AP$232,$T12,$W$40:$W$232),"")</f>
        <v/>
      </c>
      <c r="AI12" s="57" t="str">
        <f t="shared" ref="AI12:AI22" si="15">IF(LEN(TRIM(AI$10))&lt;&gt;0, SUMIF($G$40:$AP$232,$T12,$X$40:$X$232),"")</f>
        <v/>
      </c>
      <c r="AJ12" s="57" t="str">
        <f t="shared" ref="AJ12:AJ22" si="16">IF(LEN(TRIM(AJ$10))&lt;&gt;0, SUMIF($G$40:$AP$232,$T12,$Y$40:$Y$232),"")</f>
        <v/>
      </c>
      <c r="AK12" s="57" t="str">
        <f t="shared" ref="AK12:AK22" si="17">IF(LEN(TRIM(AK$10))&lt;&gt;0, SUMIF($G$40:$AP$232,$T12,$Z$40:$Z$232),"")</f>
        <v/>
      </c>
      <c r="AL12" s="57" t="str">
        <f t="shared" ref="AL12:AL22" si="18">IF(LEN(TRIM(AL$10))&lt;&gt;0, SUMIF($G$40:$AP$232,$T12,$AA$40:$AA$232),"")</f>
        <v/>
      </c>
      <c r="AM12" s="57" t="str">
        <f t="shared" ref="AM12:AM22" si="19">IF(LEN(TRIM(AM$10))&lt;&gt;0, SUMIF($G$40:$AP$232,$T12,$AB$40:$AB$232),"")</f>
        <v/>
      </c>
      <c r="AN12" s="57" t="str">
        <f t="shared" ref="AN12:AN22" si="20">IF(LEN(TRIM(AN$10))&lt;&gt;0, SUMIF($G$40:$AP$232,$T12,$AC$40:$AC$232),"")</f>
        <v/>
      </c>
      <c r="AO12" s="57" t="str">
        <f t="shared" ref="AO12:AO22" si="21">IF(LEN(TRIM(AO$10))&lt;&gt;0, SUMIF($G$40:$AP$232,$T12,$AD$40:$AD$232),"")</f>
        <v/>
      </c>
      <c r="AP12" s="57" t="str">
        <f t="shared" ref="AP12:AP22" si="22">IF(LEN(TRIM(AP$10))&lt;&gt;0, SUMIF($G$40:$AP$232,$T12,$AE$40:$AE$232),"")</f>
        <v/>
      </c>
      <c r="AQ12" s="57" t="str">
        <f t="shared" ref="AQ12:AQ22" si="23">IF(LEN(TRIM(AQ$10))&lt;&gt;0, SUMIF($G$40:$AP$232,$T12,$AF$40:$AF$232),"")</f>
        <v/>
      </c>
      <c r="AR12" s="57" t="str">
        <f t="shared" ref="AR12:AR22" si="24">IF(LEN(TRIM(AR$10))&lt;&gt;0, SUMIF($G$40:$AP$232,$T12,$AG$40:$AG$232),"")</f>
        <v/>
      </c>
      <c r="AS12" s="57" t="str">
        <f t="shared" ref="AS12:AS22" si="25">IF(LEN(TRIM(AS$10))&lt;&gt;0, SUMIF($G$40:$AP$232,$T12,$AH$40:$AH$232),"")</f>
        <v/>
      </c>
      <c r="AT12" s="57" t="str">
        <f t="shared" ref="AT12:AT22" si="26">IF(LEN(TRIM(AT$10))&lt;&gt;0, SUMIF($G$40:$AP$232,$T12,$AI$40:$AI$232),"")</f>
        <v/>
      </c>
      <c r="AU12" s="57" t="str">
        <f t="shared" ref="AU12:AU22" si="27">IF(LEN(TRIM(AU$10))&lt;&gt;0, SUMIF($G$40:$AP$232,$T12,$AJ$40:$AJ$232),"")</f>
        <v/>
      </c>
      <c r="AV12" s="57" t="str">
        <f t="shared" ref="AV12:AV22" si="28">IF(LEN(TRIM(AV$10))&lt;&gt;0, SUMIF($G$40:$AP$232,$T12,$AK$40:$AK$232),"")</f>
        <v/>
      </c>
      <c r="AW12" s="57" t="str">
        <f t="shared" ref="AW12:AW22" si="29">IF(LEN(TRIM(AW$10))&lt;&gt;0, SUMIF($G$40:$AP$232,$T12,$AL$40:$AL$232),"")</f>
        <v/>
      </c>
      <c r="AX12" s="57" t="str">
        <f t="shared" ref="AX12:AX22" si="30">IF(LEN(TRIM(AX$10))&lt;&gt;0, SUMIF($G$40:$AP$232,$T12,$AM$40:$AM$232),"")</f>
        <v/>
      </c>
      <c r="AY12" s="57" t="str">
        <f t="shared" ref="AY12:AY22" si="31">IF(LEN(TRIM(AY$10))&lt;&gt;0, SUMIF($G$40:$AP$232,$T12,$AN$40:$AN$232),"")</f>
        <v/>
      </c>
      <c r="AZ12" s="57" t="str">
        <f t="shared" ref="AZ12:AZ22" si="32">IF(LEN(TRIM(AZ$10))&lt;&gt;0, SUMIF($G$40:$AP$232,$T12,$AO$40:$AO$232),"")</f>
        <v/>
      </c>
      <c r="BA12" s="57" t="str">
        <f t="shared" ref="BA12:BA22" si="33">IF(LEN(TRIM(BA$10))&lt;&gt;0, SUMIF($G$40:$AP$232,$T12,$AP$40:$AP$232),"")</f>
        <v/>
      </c>
    </row>
    <row r="13" spans="1:53">
      <c r="A13" s="7"/>
      <c r="B13" s="18" t="s">
        <v>51</v>
      </c>
      <c r="C13" s="46">
        <v>41813</v>
      </c>
      <c r="D13" s="8"/>
      <c r="E13" s="8"/>
      <c r="F13" s="8"/>
      <c r="G13" s="9"/>
      <c r="H13" s="9"/>
      <c r="I13" s="9"/>
      <c r="J13" s="9"/>
      <c r="K13" s="9"/>
      <c r="L13" s="9"/>
      <c r="M13" s="9"/>
      <c r="N13" s="9"/>
      <c r="O13" s="9"/>
      <c r="P13" s="9"/>
      <c r="Q13" s="9"/>
      <c r="R13" s="8"/>
      <c r="S13" s="8"/>
      <c r="T13" s="36" t="str">
        <f>Data!B4</f>
        <v>Vijay</v>
      </c>
      <c r="U13" s="54">
        <f t="shared" ca="1" si="1"/>
        <v>0</v>
      </c>
      <c r="V13" s="55">
        <f t="shared" ca="1" si="2"/>
        <v>0</v>
      </c>
      <c r="W13" s="56">
        <f t="shared" ca="1" si="3"/>
        <v>0</v>
      </c>
      <c r="X13" s="57">
        <f t="shared" ca="1" si="4"/>
        <v>0</v>
      </c>
      <c r="Y13" s="57">
        <f t="shared" ca="1" si="5"/>
        <v>0</v>
      </c>
      <c r="Z13" s="57">
        <f t="shared" ca="1" si="6"/>
        <v>0</v>
      </c>
      <c r="AA13" s="57">
        <f t="shared" ca="1" si="7"/>
        <v>0</v>
      </c>
      <c r="AB13" s="57" t="str">
        <f t="shared" si="8"/>
        <v/>
      </c>
      <c r="AC13" s="57" t="str">
        <f t="shared" si="9"/>
        <v/>
      </c>
      <c r="AD13" s="57" t="str">
        <f t="shared" si="10"/>
        <v/>
      </c>
      <c r="AE13" s="57" t="str">
        <f t="shared" si="11"/>
        <v/>
      </c>
      <c r="AF13" s="57" t="str">
        <f t="shared" si="12"/>
        <v/>
      </c>
      <c r="AG13" s="57" t="str">
        <f t="shared" si="13"/>
        <v/>
      </c>
      <c r="AH13" s="57" t="str">
        <f t="shared" si="14"/>
        <v/>
      </c>
      <c r="AI13" s="57" t="str">
        <f t="shared" si="15"/>
        <v/>
      </c>
      <c r="AJ13" s="57" t="str">
        <f t="shared" si="16"/>
        <v/>
      </c>
      <c r="AK13" s="57" t="str">
        <f t="shared" si="17"/>
        <v/>
      </c>
      <c r="AL13" s="57" t="str">
        <f t="shared" si="18"/>
        <v/>
      </c>
      <c r="AM13" s="57" t="str">
        <f t="shared" si="19"/>
        <v/>
      </c>
      <c r="AN13" s="57" t="str">
        <f t="shared" si="20"/>
        <v/>
      </c>
      <c r="AO13" s="57" t="str">
        <f t="shared" si="21"/>
        <v/>
      </c>
      <c r="AP13" s="57" t="str">
        <f t="shared" si="22"/>
        <v/>
      </c>
      <c r="AQ13" s="57" t="str">
        <f t="shared" si="23"/>
        <v/>
      </c>
      <c r="AR13" s="57" t="str">
        <f t="shared" si="24"/>
        <v/>
      </c>
      <c r="AS13" s="57" t="str">
        <f t="shared" si="25"/>
        <v/>
      </c>
      <c r="AT13" s="57" t="str">
        <f t="shared" si="26"/>
        <v/>
      </c>
      <c r="AU13" s="57" t="str">
        <f t="shared" si="27"/>
        <v/>
      </c>
      <c r="AV13" s="57" t="str">
        <f t="shared" si="28"/>
        <v/>
      </c>
      <c r="AW13" s="57" t="str">
        <f t="shared" si="29"/>
        <v/>
      </c>
      <c r="AX13" s="57" t="str">
        <f t="shared" si="30"/>
        <v/>
      </c>
      <c r="AY13" s="57" t="str">
        <f t="shared" si="31"/>
        <v/>
      </c>
      <c r="AZ13" s="57" t="str">
        <f t="shared" si="32"/>
        <v/>
      </c>
      <c r="BA13" s="57" t="str">
        <f t="shared" si="33"/>
        <v/>
      </c>
    </row>
    <row r="14" spans="1:53">
      <c r="A14" s="7"/>
      <c r="B14" s="18" t="s">
        <v>52</v>
      </c>
      <c r="C14" s="46">
        <v>41817</v>
      </c>
      <c r="D14" s="8"/>
      <c r="E14" s="8"/>
      <c r="F14" s="8"/>
      <c r="G14" s="9"/>
      <c r="H14" s="9"/>
      <c r="I14" s="9"/>
      <c r="J14" s="9"/>
      <c r="K14" s="9"/>
      <c r="L14" s="9"/>
      <c r="M14" s="9"/>
      <c r="N14" s="9"/>
      <c r="O14" s="9"/>
      <c r="P14" s="9"/>
      <c r="Q14" s="9"/>
      <c r="R14" s="8"/>
      <c r="S14" s="8"/>
      <c r="T14" s="36" t="str">
        <f>Data!B5</f>
        <v>ByungseonShin</v>
      </c>
      <c r="U14" s="54">
        <f t="shared" ca="1" si="1"/>
        <v>0</v>
      </c>
      <c r="V14" s="55">
        <f t="shared" ca="1" si="2"/>
        <v>0</v>
      </c>
      <c r="W14" s="56">
        <f t="shared" ca="1" si="3"/>
        <v>0</v>
      </c>
      <c r="X14" s="57">
        <f t="shared" ca="1" si="4"/>
        <v>0</v>
      </c>
      <c r="Y14" s="57">
        <f t="shared" ca="1" si="5"/>
        <v>0</v>
      </c>
      <c r="Z14" s="57">
        <f t="shared" ca="1" si="6"/>
        <v>0</v>
      </c>
      <c r="AA14" s="57">
        <f t="shared" ca="1" si="7"/>
        <v>0</v>
      </c>
      <c r="AB14" s="57" t="str">
        <f t="shared" si="8"/>
        <v/>
      </c>
      <c r="AC14" s="57" t="str">
        <f t="shared" si="9"/>
        <v/>
      </c>
      <c r="AD14" s="57" t="str">
        <f t="shared" si="10"/>
        <v/>
      </c>
      <c r="AE14" s="57" t="str">
        <f t="shared" si="11"/>
        <v/>
      </c>
      <c r="AF14" s="57" t="str">
        <f t="shared" si="12"/>
        <v/>
      </c>
      <c r="AG14" s="57" t="str">
        <f t="shared" si="13"/>
        <v/>
      </c>
      <c r="AH14" s="57" t="str">
        <f t="shared" si="14"/>
        <v/>
      </c>
      <c r="AI14" s="57" t="str">
        <f t="shared" si="15"/>
        <v/>
      </c>
      <c r="AJ14" s="57" t="str">
        <f t="shared" si="16"/>
        <v/>
      </c>
      <c r="AK14" s="57" t="str">
        <f t="shared" si="17"/>
        <v/>
      </c>
      <c r="AL14" s="57" t="str">
        <f t="shared" si="18"/>
        <v/>
      </c>
      <c r="AM14" s="57" t="str">
        <f t="shared" si="19"/>
        <v/>
      </c>
      <c r="AN14" s="57" t="str">
        <f t="shared" si="20"/>
        <v/>
      </c>
      <c r="AO14" s="57" t="str">
        <f t="shared" si="21"/>
        <v/>
      </c>
      <c r="AP14" s="57" t="str">
        <f t="shared" si="22"/>
        <v/>
      </c>
      <c r="AQ14" s="57" t="str">
        <f t="shared" si="23"/>
        <v/>
      </c>
      <c r="AR14" s="57" t="str">
        <f t="shared" si="24"/>
        <v/>
      </c>
      <c r="AS14" s="57" t="str">
        <f t="shared" si="25"/>
        <v/>
      </c>
      <c r="AT14" s="57" t="str">
        <f t="shared" si="26"/>
        <v/>
      </c>
      <c r="AU14" s="57" t="str">
        <f t="shared" si="27"/>
        <v/>
      </c>
      <c r="AV14" s="57" t="str">
        <f t="shared" si="28"/>
        <v/>
      </c>
      <c r="AW14" s="57" t="str">
        <f t="shared" si="29"/>
        <v/>
      </c>
      <c r="AX14" s="57" t="str">
        <f t="shared" si="30"/>
        <v/>
      </c>
      <c r="AY14" s="57" t="str">
        <f t="shared" si="31"/>
        <v/>
      </c>
      <c r="AZ14" s="57" t="str">
        <f t="shared" si="32"/>
        <v/>
      </c>
      <c r="BA14" s="57" t="str">
        <f t="shared" si="33"/>
        <v/>
      </c>
    </row>
    <row r="15" spans="1:53">
      <c r="A15" s="7"/>
      <c r="B15" s="17" t="s">
        <v>66</v>
      </c>
      <c r="C15" s="17">
        <f>SUM(I40:I232)</f>
        <v>0</v>
      </c>
      <c r="D15" s="8"/>
      <c r="E15" s="8"/>
      <c r="F15" s="8"/>
      <c r="G15" s="9"/>
      <c r="H15" s="9"/>
      <c r="I15" s="9"/>
      <c r="J15" s="9"/>
      <c r="K15" s="9"/>
      <c r="L15" s="9"/>
      <c r="M15" s="9"/>
      <c r="N15" s="9"/>
      <c r="O15" s="9"/>
      <c r="P15" s="9"/>
      <c r="Q15" s="9"/>
      <c r="R15" s="8"/>
      <c r="S15" s="8"/>
      <c r="T15" s="36" t="str">
        <f>Data!B6</f>
        <v>JugwanEom</v>
      </c>
      <c r="U15" s="54">
        <f t="shared" ca="1" si="1"/>
        <v>0</v>
      </c>
      <c r="V15" s="55">
        <f t="shared" ca="1" si="2"/>
        <v>0</v>
      </c>
      <c r="W15" s="56">
        <f t="shared" ca="1" si="3"/>
        <v>0</v>
      </c>
      <c r="X15" s="57">
        <f t="shared" ca="1" si="4"/>
        <v>0</v>
      </c>
      <c r="Y15" s="57">
        <f t="shared" ca="1" si="5"/>
        <v>0</v>
      </c>
      <c r="Z15" s="57">
        <f t="shared" ca="1" si="6"/>
        <v>0</v>
      </c>
      <c r="AA15" s="57">
        <f t="shared" ca="1" si="7"/>
        <v>0</v>
      </c>
      <c r="AB15" s="57" t="str">
        <f t="shared" si="8"/>
        <v/>
      </c>
      <c r="AC15" s="57" t="str">
        <f t="shared" si="9"/>
        <v/>
      </c>
      <c r="AD15" s="57" t="str">
        <f t="shared" si="10"/>
        <v/>
      </c>
      <c r="AE15" s="57" t="str">
        <f t="shared" si="11"/>
        <v/>
      </c>
      <c r="AF15" s="57" t="str">
        <f t="shared" si="12"/>
        <v/>
      </c>
      <c r="AG15" s="57" t="str">
        <f t="shared" si="13"/>
        <v/>
      </c>
      <c r="AH15" s="57" t="str">
        <f t="shared" si="14"/>
        <v/>
      </c>
      <c r="AI15" s="57" t="str">
        <f t="shared" si="15"/>
        <v/>
      </c>
      <c r="AJ15" s="57" t="str">
        <f t="shared" si="16"/>
        <v/>
      </c>
      <c r="AK15" s="57" t="str">
        <f t="shared" si="17"/>
        <v/>
      </c>
      <c r="AL15" s="57" t="str">
        <f t="shared" si="18"/>
        <v/>
      </c>
      <c r="AM15" s="57" t="str">
        <f t="shared" si="19"/>
        <v/>
      </c>
      <c r="AN15" s="57" t="str">
        <f t="shared" si="20"/>
        <v/>
      </c>
      <c r="AO15" s="57" t="str">
        <f t="shared" si="21"/>
        <v/>
      </c>
      <c r="AP15" s="57" t="str">
        <f t="shared" si="22"/>
        <v/>
      </c>
      <c r="AQ15" s="57" t="str">
        <f t="shared" si="23"/>
        <v/>
      </c>
      <c r="AR15" s="57" t="str">
        <f t="shared" si="24"/>
        <v/>
      </c>
      <c r="AS15" s="57" t="str">
        <f t="shared" si="25"/>
        <v/>
      </c>
      <c r="AT15" s="57" t="str">
        <f t="shared" si="26"/>
        <v/>
      </c>
      <c r="AU15" s="57" t="str">
        <f t="shared" si="27"/>
        <v/>
      </c>
      <c r="AV15" s="57" t="str">
        <f t="shared" si="28"/>
        <v/>
      </c>
      <c r="AW15" s="57" t="str">
        <f t="shared" si="29"/>
        <v/>
      </c>
      <c r="AX15" s="57" t="str">
        <f t="shared" si="30"/>
        <v/>
      </c>
      <c r="AY15" s="57" t="str">
        <f t="shared" si="31"/>
        <v/>
      </c>
      <c r="AZ15" s="57" t="str">
        <f t="shared" si="32"/>
        <v/>
      </c>
      <c r="BA15" s="57" t="str">
        <f t="shared" si="33"/>
        <v/>
      </c>
    </row>
    <row r="16" spans="1:53">
      <c r="A16" s="7"/>
      <c r="B16" s="27" t="s">
        <v>67</v>
      </c>
      <c r="C16" s="62">
        <f>SUM(J40:J232)</f>
        <v>0</v>
      </c>
      <c r="D16" s="8"/>
      <c r="E16" s="8"/>
      <c r="F16" s="8"/>
      <c r="G16" s="9"/>
      <c r="H16" s="9"/>
      <c r="I16" s="9"/>
      <c r="J16" s="9"/>
      <c r="K16" s="9"/>
      <c r="L16" s="9"/>
      <c r="M16" s="9"/>
      <c r="N16" s="9"/>
      <c r="O16" s="9"/>
      <c r="P16" s="9"/>
      <c r="Q16" s="9"/>
      <c r="R16" s="8"/>
      <c r="S16" s="8"/>
      <c r="T16" s="36" t="str">
        <f>Data!B7</f>
        <v>JinyoungDu</v>
      </c>
      <c r="U16" s="54">
        <f t="shared" ca="1" si="1"/>
        <v>0</v>
      </c>
      <c r="V16" s="55">
        <f t="shared" ca="1" si="2"/>
        <v>0</v>
      </c>
      <c r="W16" s="56">
        <f t="shared" ca="1" si="3"/>
        <v>0</v>
      </c>
      <c r="X16" s="57">
        <f t="shared" ca="1" si="4"/>
        <v>0</v>
      </c>
      <c r="Y16" s="57">
        <f t="shared" ca="1" si="5"/>
        <v>0</v>
      </c>
      <c r="Z16" s="57">
        <f t="shared" ca="1" si="6"/>
        <v>0</v>
      </c>
      <c r="AA16" s="57">
        <f t="shared" ca="1" si="7"/>
        <v>0</v>
      </c>
      <c r="AB16" s="57" t="str">
        <f t="shared" si="8"/>
        <v/>
      </c>
      <c r="AC16" s="57" t="str">
        <f t="shared" si="9"/>
        <v/>
      </c>
      <c r="AD16" s="57" t="str">
        <f t="shared" si="10"/>
        <v/>
      </c>
      <c r="AE16" s="57" t="str">
        <f t="shared" si="11"/>
        <v/>
      </c>
      <c r="AF16" s="57" t="str">
        <f t="shared" si="12"/>
        <v/>
      </c>
      <c r="AG16" s="57" t="str">
        <f t="shared" si="13"/>
        <v/>
      </c>
      <c r="AH16" s="57" t="str">
        <f t="shared" si="14"/>
        <v/>
      </c>
      <c r="AI16" s="57" t="str">
        <f t="shared" si="15"/>
        <v/>
      </c>
      <c r="AJ16" s="57" t="str">
        <f t="shared" si="16"/>
        <v/>
      </c>
      <c r="AK16" s="57" t="str">
        <f t="shared" si="17"/>
        <v/>
      </c>
      <c r="AL16" s="57" t="str">
        <f t="shared" si="18"/>
        <v/>
      </c>
      <c r="AM16" s="57" t="str">
        <f t="shared" si="19"/>
        <v/>
      </c>
      <c r="AN16" s="57" t="str">
        <f t="shared" si="20"/>
        <v/>
      </c>
      <c r="AO16" s="57" t="str">
        <f t="shared" si="21"/>
        <v/>
      </c>
      <c r="AP16" s="57" t="str">
        <f t="shared" si="22"/>
        <v/>
      </c>
      <c r="AQ16" s="57" t="str">
        <f t="shared" si="23"/>
        <v/>
      </c>
      <c r="AR16" s="57" t="str">
        <f t="shared" si="24"/>
        <v/>
      </c>
      <c r="AS16" s="57" t="str">
        <f t="shared" si="25"/>
        <v/>
      </c>
      <c r="AT16" s="57" t="str">
        <f t="shared" si="26"/>
        <v/>
      </c>
      <c r="AU16" s="57" t="str">
        <f t="shared" si="27"/>
        <v/>
      </c>
      <c r="AV16" s="57" t="str">
        <f t="shared" si="28"/>
        <v/>
      </c>
      <c r="AW16" s="57" t="str">
        <f t="shared" si="29"/>
        <v/>
      </c>
      <c r="AX16" s="57" t="str">
        <f t="shared" si="30"/>
        <v/>
      </c>
      <c r="AY16" s="57" t="str">
        <f t="shared" si="31"/>
        <v/>
      </c>
      <c r="AZ16" s="57" t="str">
        <f t="shared" si="32"/>
        <v/>
      </c>
      <c r="BA16" s="57" t="str">
        <f t="shared" si="33"/>
        <v/>
      </c>
    </row>
    <row r="17" spans="1:53">
      <c r="A17" s="7"/>
      <c r="B17" s="8"/>
      <c r="C17" s="8"/>
      <c r="D17" s="8"/>
      <c r="E17" s="8"/>
      <c r="F17" s="8"/>
      <c r="G17" s="9"/>
      <c r="H17" s="9"/>
      <c r="I17" s="9"/>
      <c r="J17" s="9"/>
      <c r="K17" s="9"/>
      <c r="L17" s="9"/>
      <c r="M17" s="9"/>
      <c r="N17" s="9"/>
      <c r="O17" s="9"/>
      <c r="P17" s="9"/>
      <c r="Q17" s="9"/>
      <c r="R17" s="8"/>
      <c r="S17" s="8"/>
      <c r="T17" s="36"/>
      <c r="U17" s="54">
        <f t="shared" ca="1" si="1"/>
        <v>0</v>
      </c>
      <c r="V17" s="55">
        <f t="shared" ca="1" si="2"/>
        <v>0</v>
      </c>
      <c r="W17" s="56">
        <f t="shared" ca="1" si="3"/>
        <v>0</v>
      </c>
      <c r="X17" s="57">
        <f t="shared" ca="1" si="4"/>
        <v>0</v>
      </c>
      <c r="Y17" s="57">
        <f t="shared" ca="1" si="5"/>
        <v>0</v>
      </c>
      <c r="Z17" s="57">
        <f t="shared" ca="1" si="6"/>
        <v>0</v>
      </c>
      <c r="AA17" s="57">
        <f t="shared" ca="1" si="7"/>
        <v>0</v>
      </c>
      <c r="AB17" s="57" t="str">
        <f t="shared" si="8"/>
        <v/>
      </c>
      <c r="AC17" s="57" t="str">
        <f t="shared" si="9"/>
        <v/>
      </c>
      <c r="AD17" s="57" t="str">
        <f t="shared" si="10"/>
        <v/>
      </c>
      <c r="AE17" s="57" t="str">
        <f t="shared" si="11"/>
        <v/>
      </c>
      <c r="AF17" s="57" t="str">
        <f t="shared" si="12"/>
        <v/>
      </c>
      <c r="AG17" s="57" t="str">
        <f t="shared" si="13"/>
        <v/>
      </c>
      <c r="AH17" s="57" t="str">
        <f t="shared" si="14"/>
        <v/>
      </c>
      <c r="AI17" s="57" t="str">
        <f t="shared" si="15"/>
        <v/>
      </c>
      <c r="AJ17" s="57" t="str">
        <f t="shared" si="16"/>
        <v/>
      </c>
      <c r="AK17" s="57" t="str">
        <f t="shared" si="17"/>
        <v/>
      </c>
      <c r="AL17" s="57" t="str">
        <f t="shared" si="18"/>
        <v/>
      </c>
      <c r="AM17" s="57" t="str">
        <f t="shared" si="19"/>
        <v/>
      </c>
      <c r="AN17" s="57" t="str">
        <f t="shared" si="20"/>
        <v/>
      </c>
      <c r="AO17" s="57" t="str">
        <f t="shared" si="21"/>
        <v/>
      </c>
      <c r="AP17" s="57" t="str">
        <f t="shared" si="22"/>
        <v/>
      </c>
      <c r="AQ17" s="57" t="str">
        <f t="shared" si="23"/>
        <v/>
      </c>
      <c r="AR17" s="57" t="str">
        <f t="shared" si="24"/>
        <v/>
      </c>
      <c r="AS17" s="57" t="str">
        <f t="shared" si="25"/>
        <v/>
      </c>
      <c r="AT17" s="57" t="str">
        <f t="shared" si="26"/>
        <v/>
      </c>
      <c r="AU17" s="57" t="str">
        <f t="shared" si="27"/>
        <v/>
      </c>
      <c r="AV17" s="57" t="str">
        <f t="shared" si="28"/>
        <v/>
      </c>
      <c r="AW17" s="57" t="str">
        <f t="shared" si="29"/>
        <v/>
      </c>
      <c r="AX17" s="57" t="str">
        <f t="shared" si="30"/>
        <v/>
      </c>
      <c r="AY17" s="57" t="str">
        <f t="shared" si="31"/>
        <v/>
      </c>
      <c r="AZ17" s="57" t="str">
        <f t="shared" si="32"/>
        <v/>
      </c>
      <c r="BA17" s="57" t="str">
        <f t="shared" si="33"/>
        <v/>
      </c>
    </row>
    <row r="18" spans="1:53">
      <c r="A18" s="7"/>
      <c r="B18" s="8"/>
      <c r="C18" s="8"/>
      <c r="D18" s="8"/>
      <c r="E18" s="8"/>
      <c r="F18" s="8"/>
      <c r="G18" s="9"/>
      <c r="H18" s="9"/>
      <c r="I18" s="9"/>
      <c r="J18" s="9"/>
      <c r="K18" s="9"/>
      <c r="L18" s="9"/>
      <c r="M18" s="9"/>
      <c r="N18" s="9"/>
      <c r="O18" s="9"/>
      <c r="P18" s="9"/>
      <c r="Q18" s="9"/>
      <c r="R18" s="8"/>
      <c r="S18" s="8"/>
      <c r="T18" s="36"/>
      <c r="U18" s="54">
        <f t="shared" ca="1" si="1"/>
        <v>0</v>
      </c>
      <c r="V18" s="55">
        <f t="shared" ca="1" si="2"/>
        <v>0</v>
      </c>
      <c r="W18" s="56">
        <f t="shared" ca="1" si="3"/>
        <v>0</v>
      </c>
      <c r="X18" s="57">
        <f t="shared" ca="1" si="4"/>
        <v>0</v>
      </c>
      <c r="Y18" s="57">
        <f t="shared" ca="1" si="5"/>
        <v>0</v>
      </c>
      <c r="Z18" s="57">
        <f t="shared" ca="1" si="6"/>
        <v>0</v>
      </c>
      <c r="AA18" s="57">
        <f t="shared" ca="1" si="7"/>
        <v>0</v>
      </c>
      <c r="AB18" s="57" t="str">
        <f t="shared" si="8"/>
        <v/>
      </c>
      <c r="AC18" s="57" t="str">
        <f t="shared" si="9"/>
        <v/>
      </c>
      <c r="AD18" s="57" t="str">
        <f t="shared" si="10"/>
        <v/>
      </c>
      <c r="AE18" s="57" t="str">
        <f t="shared" si="11"/>
        <v/>
      </c>
      <c r="AF18" s="57" t="str">
        <f t="shared" si="12"/>
        <v/>
      </c>
      <c r="AG18" s="57" t="str">
        <f t="shared" si="13"/>
        <v/>
      </c>
      <c r="AH18" s="57" t="str">
        <f t="shared" si="14"/>
        <v/>
      </c>
      <c r="AI18" s="57" t="str">
        <f t="shared" si="15"/>
        <v/>
      </c>
      <c r="AJ18" s="57" t="str">
        <f t="shared" si="16"/>
        <v/>
      </c>
      <c r="AK18" s="57" t="str">
        <f t="shared" si="17"/>
        <v/>
      </c>
      <c r="AL18" s="57" t="str">
        <f t="shared" si="18"/>
        <v/>
      </c>
      <c r="AM18" s="57" t="str">
        <f t="shared" si="19"/>
        <v/>
      </c>
      <c r="AN18" s="57" t="str">
        <f t="shared" si="20"/>
        <v/>
      </c>
      <c r="AO18" s="57" t="str">
        <f t="shared" si="21"/>
        <v/>
      </c>
      <c r="AP18" s="57" t="str">
        <f t="shared" si="22"/>
        <v/>
      </c>
      <c r="AQ18" s="57" t="str">
        <f t="shared" si="23"/>
        <v/>
      </c>
      <c r="AR18" s="57" t="str">
        <f t="shared" si="24"/>
        <v/>
      </c>
      <c r="AS18" s="57" t="str">
        <f t="shared" si="25"/>
        <v/>
      </c>
      <c r="AT18" s="57" t="str">
        <f t="shared" si="26"/>
        <v/>
      </c>
      <c r="AU18" s="57" t="str">
        <f t="shared" si="27"/>
        <v/>
      </c>
      <c r="AV18" s="57" t="str">
        <f t="shared" si="28"/>
        <v/>
      </c>
      <c r="AW18" s="57" t="str">
        <f t="shared" si="29"/>
        <v/>
      </c>
      <c r="AX18" s="57" t="str">
        <f t="shared" si="30"/>
        <v/>
      </c>
      <c r="AY18" s="57" t="str">
        <f t="shared" si="31"/>
        <v/>
      </c>
      <c r="AZ18" s="57" t="str">
        <f t="shared" si="32"/>
        <v/>
      </c>
      <c r="BA18" s="57" t="str">
        <f t="shared" si="33"/>
        <v/>
      </c>
    </row>
    <row r="19" spans="1:53">
      <c r="A19" s="7"/>
      <c r="B19" s="8"/>
      <c r="C19" s="8"/>
      <c r="D19" s="8"/>
      <c r="E19" s="8"/>
      <c r="F19" s="8"/>
      <c r="G19" s="9"/>
      <c r="H19" s="9"/>
      <c r="I19" s="9"/>
      <c r="J19" s="9"/>
      <c r="K19" s="9"/>
      <c r="L19" s="9"/>
      <c r="M19" s="9"/>
      <c r="N19" s="9"/>
      <c r="O19" s="9"/>
      <c r="P19" s="9"/>
      <c r="Q19" s="9"/>
      <c r="R19" s="8"/>
      <c r="S19" s="8"/>
      <c r="T19" s="36"/>
      <c r="U19" s="54">
        <f t="shared" ca="1" si="1"/>
        <v>0</v>
      </c>
      <c r="V19" s="55">
        <f t="shared" ca="1" si="2"/>
        <v>0</v>
      </c>
      <c r="W19" s="56">
        <f t="shared" ca="1" si="3"/>
        <v>0</v>
      </c>
      <c r="X19" s="57">
        <f t="shared" ca="1" si="4"/>
        <v>0</v>
      </c>
      <c r="Y19" s="57">
        <f t="shared" ca="1" si="5"/>
        <v>0</v>
      </c>
      <c r="Z19" s="57">
        <f t="shared" ca="1" si="6"/>
        <v>0</v>
      </c>
      <c r="AA19" s="57">
        <f t="shared" ca="1" si="7"/>
        <v>0</v>
      </c>
      <c r="AB19" s="57" t="str">
        <f t="shared" si="8"/>
        <v/>
      </c>
      <c r="AC19" s="57" t="str">
        <f t="shared" si="9"/>
        <v/>
      </c>
      <c r="AD19" s="57" t="str">
        <f t="shared" si="10"/>
        <v/>
      </c>
      <c r="AE19" s="57" t="str">
        <f t="shared" si="11"/>
        <v/>
      </c>
      <c r="AF19" s="57" t="str">
        <f t="shared" si="12"/>
        <v/>
      </c>
      <c r="AG19" s="57" t="str">
        <f t="shared" si="13"/>
        <v/>
      </c>
      <c r="AH19" s="57" t="str">
        <f t="shared" si="14"/>
        <v/>
      </c>
      <c r="AI19" s="57" t="str">
        <f t="shared" si="15"/>
        <v/>
      </c>
      <c r="AJ19" s="57" t="str">
        <f t="shared" si="16"/>
        <v/>
      </c>
      <c r="AK19" s="57" t="str">
        <f t="shared" si="17"/>
        <v/>
      </c>
      <c r="AL19" s="57" t="str">
        <f t="shared" si="18"/>
        <v/>
      </c>
      <c r="AM19" s="57" t="str">
        <f t="shared" si="19"/>
        <v/>
      </c>
      <c r="AN19" s="57" t="str">
        <f t="shared" si="20"/>
        <v/>
      </c>
      <c r="AO19" s="57" t="str">
        <f t="shared" si="21"/>
        <v/>
      </c>
      <c r="AP19" s="57" t="str">
        <f t="shared" si="22"/>
        <v/>
      </c>
      <c r="AQ19" s="57" t="str">
        <f t="shared" si="23"/>
        <v/>
      </c>
      <c r="AR19" s="57" t="str">
        <f t="shared" si="24"/>
        <v/>
      </c>
      <c r="AS19" s="57" t="str">
        <f t="shared" si="25"/>
        <v/>
      </c>
      <c r="AT19" s="57" t="str">
        <f t="shared" si="26"/>
        <v/>
      </c>
      <c r="AU19" s="57" t="str">
        <f t="shared" si="27"/>
        <v/>
      </c>
      <c r="AV19" s="57" t="str">
        <f t="shared" si="28"/>
        <v/>
      </c>
      <c r="AW19" s="57" t="str">
        <f t="shared" si="29"/>
        <v/>
      </c>
      <c r="AX19" s="57" t="str">
        <f t="shared" si="30"/>
        <v/>
      </c>
      <c r="AY19" s="57" t="str">
        <f t="shared" si="31"/>
        <v/>
      </c>
      <c r="AZ19" s="57" t="str">
        <f t="shared" si="32"/>
        <v/>
      </c>
      <c r="BA19" s="57" t="str">
        <f t="shared" si="33"/>
        <v/>
      </c>
    </row>
    <row r="20" spans="1:53">
      <c r="A20" s="7"/>
      <c r="B20" s="8"/>
      <c r="C20" s="8"/>
      <c r="D20" s="8"/>
      <c r="E20" s="8"/>
      <c r="F20" s="8"/>
      <c r="G20" s="9"/>
      <c r="H20" s="9"/>
      <c r="I20" s="9"/>
      <c r="J20" s="9"/>
      <c r="K20" s="9"/>
      <c r="L20" s="9"/>
      <c r="M20" s="9"/>
      <c r="N20" s="9"/>
      <c r="O20" s="9"/>
      <c r="P20" s="9"/>
      <c r="Q20" s="9"/>
      <c r="R20" s="8"/>
      <c r="S20" s="8"/>
      <c r="T20" s="36"/>
      <c r="U20" s="54">
        <f t="shared" ca="1" si="1"/>
        <v>0</v>
      </c>
      <c r="V20" s="55">
        <f t="shared" ca="1" si="2"/>
        <v>0</v>
      </c>
      <c r="W20" s="56">
        <f t="shared" ca="1" si="3"/>
        <v>0</v>
      </c>
      <c r="X20" s="57">
        <f t="shared" ca="1" si="4"/>
        <v>0</v>
      </c>
      <c r="Y20" s="57">
        <f t="shared" ca="1" si="5"/>
        <v>0</v>
      </c>
      <c r="Z20" s="57">
        <f t="shared" ca="1" si="6"/>
        <v>0</v>
      </c>
      <c r="AA20" s="57">
        <f t="shared" ca="1" si="7"/>
        <v>0</v>
      </c>
      <c r="AB20" s="57" t="str">
        <f t="shared" si="8"/>
        <v/>
      </c>
      <c r="AC20" s="57" t="str">
        <f t="shared" si="9"/>
        <v/>
      </c>
      <c r="AD20" s="57" t="str">
        <f t="shared" si="10"/>
        <v/>
      </c>
      <c r="AE20" s="57" t="str">
        <f t="shared" si="11"/>
        <v/>
      </c>
      <c r="AF20" s="57" t="str">
        <f t="shared" si="12"/>
        <v/>
      </c>
      <c r="AG20" s="57" t="str">
        <f t="shared" si="13"/>
        <v/>
      </c>
      <c r="AH20" s="57" t="str">
        <f t="shared" si="14"/>
        <v/>
      </c>
      <c r="AI20" s="57" t="str">
        <f t="shared" si="15"/>
        <v/>
      </c>
      <c r="AJ20" s="57" t="str">
        <f t="shared" si="16"/>
        <v/>
      </c>
      <c r="AK20" s="57" t="str">
        <f t="shared" si="17"/>
        <v/>
      </c>
      <c r="AL20" s="57" t="str">
        <f t="shared" si="18"/>
        <v/>
      </c>
      <c r="AM20" s="57" t="str">
        <f t="shared" si="19"/>
        <v/>
      </c>
      <c r="AN20" s="57" t="str">
        <f t="shared" si="20"/>
        <v/>
      </c>
      <c r="AO20" s="57" t="str">
        <f t="shared" si="21"/>
        <v/>
      </c>
      <c r="AP20" s="57" t="str">
        <f t="shared" si="22"/>
        <v/>
      </c>
      <c r="AQ20" s="57" t="str">
        <f t="shared" si="23"/>
        <v/>
      </c>
      <c r="AR20" s="57" t="str">
        <f t="shared" si="24"/>
        <v/>
      </c>
      <c r="AS20" s="57" t="str">
        <f t="shared" si="25"/>
        <v/>
      </c>
      <c r="AT20" s="57" t="str">
        <f t="shared" si="26"/>
        <v/>
      </c>
      <c r="AU20" s="57" t="str">
        <f t="shared" si="27"/>
        <v/>
      </c>
      <c r="AV20" s="57" t="str">
        <f t="shared" si="28"/>
        <v/>
      </c>
      <c r="AW20" s="57" t="str">
        <f t="shared" si="29"/>
        <v/>
      </c>
      <c r="AX20" s="57" t="str">
        <f t="shared" si="30"/>
        <v/>
      </c>
      <c r="AY20" s="57" t="str">
        <f t="shared" si="31"/>
        <v/>
      </c>
      <c r="AZ20" s="57" t="str">
        <f t="shared" si="32"/>
        <v/>
      </c>
      <c r="BA20" s="57" t="str">
        <f t="shared" si="33"/>
        <v/>
      </c>
    </row>
    <row r="21" spans="1:53">
      <c r="A21" s="7"/>
      <c r="B21" s="8"/>
      <c r="C21" s="8"/>
      <c r="D21" s="8"/>
      <c r="E21" s="8"/>
      <c r="F21" s="8"/>
      <c r="G21" s="9"/>
      <c r="H21" s="9"/>
      <c r="I21" s="9"/>
      <c r="J21" s="9"/>
      <c r="K21" s="9"/>
      <c r="L21" s="9"/>
      <c r="M21" s="9"/>
      <c r="N21" s="9"/>
      <c r="O21" s="9"/>
      <c r="P21" s="9"/>
      <c r="Q21" s="9"/>
      <c r="R21" s="8"/>
      <c r="S21" s="8"/>
      <c r="T21" s="36"/>
      <c r="U21" s="54">
        <f t="shared" ca="1" si="1"/>
        <v>0</v>
      </c>
      <c r="V21" s="55">
        <f t="shared" ca="1" si="2"/>
        <v>0</v>
      </c>
      <c r="W21" s="56">
        <f t="shared" ca="1" si="3"/>
        <v>0</v>
      </c>
      <c r="X21" s="57">
        <f t="shared" ca="1" si="4"/>
        <v>0</v>
      </c>
      <c r="Y21" s="57">
        <f t="shared" ca="1" si="5"/>
        <v>0</v>
      </c>
      <c r="Z21" s="57">
        <f t="shared" ca="1" si="6"/>
        <v>0</v>
      </c>
      <c r="AA21" s="57">
        <f t="shared" ca="1" si="7"/>
        <v>0</v>
      </c>
      <c r="AB21" s="57" t="str">
        <f t="shared" si="8"/>
        <v/>
      </c>
      <c r="AC21" s="57" t="str">
        <f t="shared" si="9"/>
        <v/>
      </c>
      <c r="AD21" s="57" t="str">
        <f t="shared" si="10"/>
        <v/>
      </c>
      <c r="AE21" s="57" t="str">
        <f t="shared" si="11"/>
        <v/>
      </c>
      <c r="AF21" s="57" t="str">
        <f t="shared" si="12"/>
        <v/>
      </c>
      <c r="AG21" s="57" t="str">
        <f t="shared" si="13"/>
        <v/>
      </c>
      <c r="AH21" s="57" t="str">
        <f t="shared" si="14"/>
        <v/>
      </c>
      <c r="AI21" s="57" t="str">
        <f t="shared" si="15"/>
        <v/>
      </c>
      <c r="AJ21" s="57" t="str">
        <f t="shared" si="16"/>
        <v/>
      </c>
      <c r="AK21" s="57" t="str">
        <f t="shared" si="17"/>
        <v/>
      </c>
      <c r="AL21" s="57" t="str">
        <f t="shared" si="18"/>
        <v/>
      </c>
      <c r="AM21" s="57" t="str">
        <f t="shared" si="19"/>
        <v/>
      </c>
      <c r="AN21" s="57" t="str">
        <f t="shared" si="20"/>
        <v/>
      </c>
      <c r="AO21" s="57" t="str">
        <f t="shared" si="21"/>
        <v/>
      </c>
      <c r="AP21" s="57" t="str">
        <f t="shared" si="22"/>
        <v/>
      </c>
      <c r="AQ21" s="57" t="str">
        <f t="shared" si="23"/>
        <v/>
      </c>
      <c r="AR21" s="57" t="str">
        <f t="shared" si="24"/>
        <v/>
      </c>
      <c r="AS21" s="57" t="str">
        <f t="shared" si="25"/>
        <v/>
      </c>
      <c r="AT21" s="57" t="str">
        <f t="shared" si="26"/>
        <v/>
      </c>
      <c r="AU21" s="57" t="str">
        <f t="shared" si="27"/>
        <v/>
      </c>
      <c r="AV21" s="57" t="str">
        <f t="shared" si="28"/>
        <v/>
      </c>
      <c r="AW21" s="57" t="str">
        <f t="shared" si="29"/>
        <v/>
      </c>
      <c r="AX21" s="57" t="str">
        <f t="shared" si="30"/>
        <v/>
      </c>
      <c r="AY21" s="57" t="str">
        <f t="shared" si="31"/>
        <v/>
      </c>
      <c r="AZ21" s="57" t="str">
        <f t="shared" si="32"/>
        <v/>
      </c>
      <c r="BA21" s="57" t="str">
        <f t="shared" si="33"/>
        <v/>
      </c>
    </row>
    <row r="22" spans="1:53">
      <c r="A22" s="7"/>
      <c r="B22" s="8"/>
      <c r="C22" s="8"/>
      <c r="D22" s="8"/>
      <c r="E22" s="8"/>
      <c r="F22" s="8"/>
      <c r="G22" s="9"/>
      <c r="H22" s="9"/>
      <c r="I22" s="9"/>
      <c r="J22" s="9"/>
      <c r="K22" s="9"/>
      <c r="L22" s="9"/>
      <c r="M22" s="9"/>
      <c r="N22" s="9"/>
      <c r="O22" s="9"/>
      <c r="P22" s="9"/>
      <c r="Q22" s="9"/>
      <c r="R22" s="8"/>
      <c r="S22" s="8"/>
      <c r="T22" s="36"/>
      <c r="U22" s="54">
        <f t="shared" ca="1" si="1"/>
        <v>0</v>
      </c>
      <c r="V22" s="55">
        <f t="shared" ca="1" si="2"/>
        <v>0</v>
      </c>
      <c r="W22" s="56">
        <f t="shared" ca="1" si="3"/>
        <v>0</v>
      </c>
      <c r="X22" s="57">
        <f t="shared" ca="1" si="4"/>
        <v>0</v>
      </c>
      <c r="Y22" s="57">
        <f t="shared" ca="1" si="5"/>
        <v>0</v>
      </c>
      <c r="Z22" s="57">
        <f t="shared" ca="1" si="6"/>
        <v>0</v>
      </c>
      <c r="AA22" s="57">
        <f t="shared" ca="1" si="7"/>
        <v>0</v>
      </c>
      <c r="AB22" s="57" t="str">
        <f t="shared" si="8"/>
        <v/>
      </c>
      <c r="AC22" s="57" t="str">
        <f t="shared" si="9"/>
        <v/>
      </c>
      <c r="AD22" s="57" t="str">
        <f t="shared" si="10"/>
        <v/>
      </c>
      <c r="AE22" s="57" t="str">
        <f t="shared" si="11"/>
        <v/>
      </c>
      <c r="AF22" s="57" t="str">
        <f t="shared" si="12"/>
        <v/>
      </c>
      <c r="AG22" s="57" t="str">
        <f t="shared" si="13"/>
        <v/>
      </c>
      <c r="AH22" s="57" t="str">
        <f t="shared" si="14"/>
        <v/>
      </c>
      <c r="AI22" s="57" t="str">
        <f t="shared" si="15"/>
        <v/>
      </c>
      <c r="AJ22" s="57" t="str">
        <f t="shared" si="16"/>
        <v/>
      </c>
      <c r="AK22" s="57" t="str">
        <f t="shared" si="17"/>
        <v/>
      </c>
      <c r="AL22" s="57" t="str">
        <f t="shared" si="18"/>
        <v/>
      </c>
      <c r="AM22" s="57" t="str">
        <f t="shared" si="19"/>
        <v/>
      </c>
      <c r="AN22" s="57" t="str">
        <f t="shared" si="20"/>
        <v/>
      </c>
      <c r="AO22" s="57" t="str">
        <f t="shared" si="21"/>
        <v/>
      </c>
      <c r="AP22" s="57" t="str">
        <f t="shared" si="22"/>
        <v/>
      </c>
      <c r="AQ22" s="57" t="str">
        <f t="shared" si="23"/>
        <v/>
      </c>
      <c r="AR22" s="57" t="str">
        <f t="shared" si="24"/>
        <v/>
      </c>
      <c r="AS22" s="57" t="str">
        <f t="shared" si="25"/>
        <v/>
      </c>
      <c r="AT22" s="57" t="str">
        <f t="shared" si="26"/>
        <v/>
      </c>
      <c r="AU22" s="57" t="str">
        <f t="shared" si="27"/>
        <v/>
      </c>
      <c r="AV22" s="57" t="str">
        <f t="shared" si="28"/>
        <v/>
      </c>
      <c r="AW22" s="57" t="str">
        <f t="shared" si="29"/>
        <v/>
      </c>
      <c r="AX22" s="57" t="str">
        <f t="shared" si="30"/>
        <v/>
      </c>
      <c r="AY22" s="57" t="str">
        <f t="shared" si="31"/>
        <v/>
      </c>
      <c r="AZ22" s="57" t="str">
        <f t="shared" si="32"/>
        <v/>
      </c>
      <c r="BA22" s="57" t="str">
        <f t="shared" si="33"/>
        <v/>
      </c>
    </row>
    <row r="23" spans="1:53">
      <c r="A23" s="7"/>
      <c r="B23" s="8"/>
      <c r="C23" s="8"/>
      <c r="D23" s="8"/>
      <c r="E23" s="8"/>
      <c r="F23" s="8"/>
      <c r="G23" s="9"/>
      <c r="H23" s="9"/>
      <c r="I23" s="9"/>
      <c r="J23" s="9"/>
      <c r="K23" s="9"/>
      <c r="L23" s="9"/>
      <c r="M23" s="9"/>
      <c r="N23" s="9"/>
      <c r="O23" s="9"/>
      <c r="P23" s="9"/>
      <c r="Q23" s="9"/>
      <c r="R23" s="8"/>
      <c r="S23" s="8"/>
      <c r="T23" s="37" t="s">
        <v>29</v>
      </c>
      <c r="U23" s="58"/>
      <c r="V23" s="59"/>
      <c r="W23" s="56">
        <f t="shared" ref="W23:BA23" ca="1" si="34">IF(LEN(TRIM(W$10))&lt;&gt;0,SUM(W11:W20),"")</f>
        <v>0</v>
      </c>
      <c r="X23" s="57">
        <f t="shared" ca="1" si="34"/>
        <v>0</v>
      </c>
      <c r="Y23" s="57">
        <f t="shared" ca="1" si="34"/>
        <v>0</v>
      </c>
      <c r="Z23" s="57">
        <f t="shared" ca="1" si="34"/>
        <v>0</v>
      </c>
      <c r="AA23" s="57">
        <f t="shared" ca="1" si="34"/>
        <v>0</v>
      </c>
      <c r="AB23" s="57" t="str">
        <f t="shared" si="34"/>
        <v/>
      </c>
      <c r="AC23" s="57" t="str">
        <f t="shared" si="34"/>
        <v/>
      </c>
      <c r="AD23" s="57" t="str">
        <f t="shared" si="34"/>
        <v/>
      </c>
      <c r="AE23" s="57" t="str">
        <f t="shared" si="34"/>
        <v/>
      </c>
      <c r="AF23" s="57" t="str">
        <f t="shared" si="34"/>
        <v/>
      </c>
      <c r="AG23" s="57" t="str">
        <f t="shared" si="34"/>
        <v/>
      </c>
      <c r="AH23" s="57" t="str">
        <f t="shared" si="34"/>
        <v/>
      </c>
      <c r="AI23" s="57" t="str">
        <f t="shared" si="34"/>
        <v/>
      </c>
      <c r="AJ23" s="57" t="str">
        <f t="shared" si="34"/>
        <v/>
      </c>
      <c r="AK23" s="57" t="str">
        <f t="shared" si="34"/>
        <v/>
      </c>
      <c r="AL23" s="57" t="str">
        <f t="shared" si="34"/>
        <v/>
      </c>
      <c r="AM23" s="57" t="str">
        <f t="shared" si="34"/>
        <v/>
      </c>
      <c r="AN23" s="57" t="str">
        <f t="shared" si="34"/>
        <v/>
      </c>
      <c r="AO23" s="57" t="str">
        <f t="shared" si="34"/>
        <v/>
      </c>
      <c r="AP23" s="57" t="str">
        <f t="shared" si="34"/>
        <v/>
      </c>
      <c r="AQ23" s="57" t="str">
        <f t="shared" si="34"/>
        <v/>
      </c>
      <c r="AR23" s="57" t="str">
        <f t="shared" si="34"/>
        <v/>
      </c>
      <c r="AS23" s="57" t="str">
        <f t="shared" si="34"/>
        <v/>
      </c>
      <c r="AT23" s="57" t="str">
        <f t="shared" si="34"/>
        <v/>
      </c>
      <c r="AU23" s="57" t="str">
        <f t="shared" si="34"/>
        <v/>
      </c>
      <c r="AV23" s="57" t="str">
        <f t="shared" si="34"/>
        <v/>
      </c>
      <c r="AW23" s="57" t="str">
        <f t="shared" si="34"/>
        <v/>
      </c>
      <c r="AX23" s="57" t="str">
        <f t="shared" si="34"/>
        <v/>
      </c>
      <c r="AY23" s="57" t="str">
        <f t="shared" si="34"/>
        <v/>
      </c>
      <c r="AZ23" s="57" t="str">
        <f t="shared" si="34"/>
        <v/>
      </c>
      <c r="BA23" s="57" t="str">
        <f t="shared" si="34"/>
        <v/>
      </c>
    </row>
    <row r="24" spans="1:53" ht="18.75" thickBot="1">
      <c r="A24" s="7"/>
      <c r="B24" s="11"/>
      <c r="C24" s="8"/>
      <c r="D24" s="8"/>
      <c r="E24" s="8"/>
      <c r="F24" s="8"/>
      <c r="G24" s="9"/>
      <c r="H24" s="9"/>
      <c r="I24" s="9"/>
      <c r="J24" s="9"/>
      <c r="K24" s="9"/>
      <c r="L24" s="9"/>
      <c r="M24" s="9"/>
      <c r="N24" s="9"/>
      <c r="O24" s="9"/>
      <c r="P24" s="9"/>
      <c r="Q24" s="9"/>
      <c r="R24" s="8"/>
      <c r="S24" s="8"/>
      <c r="T24" s="37" t="s">
        <v>56</v>
      </c>
      <c r="U24" s="60"/>
      <c r="V24" s="61"/>
      <c r="W24" s="56">
        <f ca="1">IF(LEN(TRIM(W$10))&lt;&gt;0,C15-W23,"")</f>
        <v>0</v>
      </c>
      <c r="X24" s="57">
        <f t="shared" ref="X24:BA24" ca="1" si="35">IF(LEN(TRIM(X$10))&lt;&gt;0, W24-X23,"")</f>
        <v>0</v>
      </c>
      <c r="Y24" s="57">
        <f t="shared" ca="1" si="35"/>
        <v>0</v>
      </c>
      <c r="Z24" s="57">
        <f t="shared" ca="1" si="35"/>
        <v>0</v>
      </c>
      <c r="AA24" s="57">
        <f t="shared" ca="1" si="35"/>
        <v>0</v>
      </c>
      <c r="AB24" s="57" t="str">
        <f t="shared" si="35"/>
        <v/>
      </c>
      <c r="AC24" s="57" t="str">
        <f t="shared" si="35"/>
        <v/>
      </c>
      <c r="AD24" s="57" t="str">
        <f t="shared" si="35"/>
        <v/>
      </c>
      <c r="AE24" s="57" t="str">
        <f t="shared" si="35"/>
        <v/>
      </c>
      <c r="AF24" s="57" t="str">
        <f t="shared" si="35"/>
        <v/>
      </c>
      <c r="AG24" s="57" t="str">
        <f t="shared" si="35"/>
        <v/>
      </c>
      <c r="AH24" s="57" t="str">
        <f t="shared" si="35"/>
        <v/>
      </c>
      <c r="AI24" s="57" t="str">
        <f t="shared" si="35"/>
        <v/>
      </c>
      <c r="AJ24" s="57" t="str">
        <f t="shared" si="35"/>
        <v/>
      </c>
      <c r="AK24" s="57" t="str">
        <f t="shared" si="35"/>
        <v/>
      </c>
      <c r="AL24" s="57" t="str">
        <f t="shared" si="35"/>
        <v/>
      </c>
      <c r="AM24" s="57" t="str">
        <f t="shared" si="35"/>
        <v/>
      </c>
      <c r="AN24" s="57" t="str">
        <f t="shared" si="35"/>
        <v/>
      </c>
      <c r="AO24" s="57" t="str">
        <f t="shared" si="35"/>
        <v/>
      </c>
      <c r="AP24" s="57" t="str">
        <f t="shared" si="35"/>
        <v/>
      </c>
      <c r="AQ24" s="57" t="str">
        <f t="shared" si="35"/>
        <v/>
      </c>
      <c r="AR24" s="57" t="str">
        <f t="shared" si="35"/>
        <v/>
      </c>
      <c r="AS24" s="57" t="str">
        <f t="shared" si="35"/>
        <v/>
      </c>
      <c r="AT24" s="57" t="str">
        <f t="shared" si="35"/>
        <v/>
      </c>
      <c r="AU24" s="57" t="str">
        <f t="shared" si="35"/>
        <v/>
      </c>
      <c r="AV24" s="57" t="str">
        <f t="shared" si="35"/>
        <v/>
      </c>
      <c r="AW24" s="57" t="str">
        <f t="shared" si="35"/>
        <v/>
      </c>
      <c r="AX24" s="57" t="str">
        <f t="shared" si="35"/>
        <v/>
      </c>
      <c r="AY24" s="57" t="str">
        <f t="shared" si="35"/>
        <v/>
      </c>
      <c r="AZ24" s="57" t="str">
        <f t="shared" si="35"/>
        <v/>
      </c>
      <c r="BA24" s="57" t="str">
        <f t="shared" si="35"/>
        <v/>
      </c>
    </row>
    <row r="25" spans="1:53" hidden="1">
      <c r="A25" s="7"/>
      <c r="B25" s="15" t="s">
        <v>28</v>
      </c>
      <c r="C25" s="15" t="s">
        <v>27</v>
      </c>
      <c r="D25" s="14" t="s">
        <v>26</v>
      </c>
      <c r="E25" s="14" t="s">
        <v>25</v>
      </c>
      <c r="F25" s="14" t="s">
        <v>24</v>
      </c>
      <c r="G25" s="12"/>
      <c r="H25" s="9"/>
      <c r="I25" s="9"/>
      <c r="J25" s="9"/>
      <c r="K25" s="9"/>
      <c r="L25" s="9"/>
      <c r="M25" s="9"/>
      <c r="N25" s="9"/>
      <c r="O25" s="9"/>
      <c r="P25" s="9"/>
      <c r="Q25" s="9"/>
      <c r="R25" s="8"/>
      <c r="S25" s="8"/>
      <c r="T25" s="7"/>
      <c r="U25" s="7"/>
      <c r="V25" s="7"/>
      <c r="W25" s="7"/>
      <c r="X25" s="7"/>
      <c r="Y25" s="7"/>
      <c r="Z25" s="7"/>
      <c r="AA25" s="7"/>
      <c r="AB25" s="7"/>
      <c r="AC25" s="7"/>
      <c r="AD25" s="7"/>
      <c r="AE25" s="7"/>
      <c r="AF25" s="7"/>
      <c r="AG25" s="7"/>
      <c r="AH25" s="7"/>
      <c r="AI25" s="7"/>
      <c r="AJ25" s="7"/>
      <c r="AK25" s="7"/>
      <c r="AL25" s="7"/>
      <c r="AM25" s="7"/>
      <c r="AN25" s="7"/>
      <c r="AO25" s="7"/>
      <c r="AP25" s="7"/>
    </row>
    <row r="26" spans="1:53" hidden="1">
      <c r="A26" s="7"/>
      <c r="B26" s="78" t="s">
        <v>23</v>
      </c>
      <c r="C26" s="81" t="s">
        <v>54</v>
      </c>
      <c r="D26" s="43" t="s">
        <v>22</v>
      </c>
      <c r="E26" s="47" t="s">
        <v>10</v>
      </c>
      <c r="F26" s="48"/>
      <c r="G26" s="12"/>
      <c r="H26" s="9"/>
      <c r="I26" s="9"/>
      <c r="J26" s="9"/>
      <c r="K26" s="9"/>
      <c r="L26" s="9"/>
      <c r="M26" s="9"/>
      <c r="N26" s="9"/>
      <c r="O26" s="9"/>
      <c r="P26" s="9"/>
      <c r="Q26" s="9"/>
      <c r="R26" s="8"/>
      <c r="S26" s="8"/>
      <c r="T26" s="7"/>
      <c r="U26" s="7"/>
      <c r="V26" s="7"/>
      <c r="W26" s="7"/>
      <c r="X26" s="7"/>
      <c r="Y26" s="7"/>
      <c r="Z26" s="7"/>
      <c r="AA26" s="7"/>
      <c r="AB26" s="7"/>
      <c r="AC26" s="7"/>
      <c r="AD26" s="7"/>
      <c r="AE26" s="7"/>
      <c r="AF26" s="7"/>
      <c r="AG26" s="7"/>
      <c r="AH26" s="7"/>
      <c r="AI26" s="7"/>
      <c r="AJ26" s="7"/>
      <c r="AK26" s="7"/>
      <c r="AL26" s="7"/>
      <c r="AM26" s="7"/>
      <c r="AN26" s="7"/>
      <c r="AO26" s="7"/>
      <c r="AP26" s="7"/>
    </row>
    <row r="27" spans="1:53" ht="25.5" hidden="1">
      <c r="A27" s="7"/>
      <c r="B27" s="79"/>
      <c r="C27" s="82"/>
      <c r="D27" s="43" t="s">
        <v>21</v>
      </c>
      <c r="E27" s="47" t="s">
        <v>10</v>
      </c>
      <c r="F27" s="48"/>
      <c r="G27" s="12"/>
      <c r="H27" s="9"/>
      <c r="I27" s="9"/>
      <c r="J27" s="9"/>
      <c r="K27" s="9"/>
      <c r="L27" s="9"/>
      <c r="M27" s="9"/>
      <c r="N27" s="9"/>
      <c r="O27" s="9"/>
      <c r="P27" s="9"/>
      <c r="Q27" s="9"/>
      <c r="R27" s="8"/>
      <c r="S27" s="8"/>
      <c r="T27" s="7"/>
      <c r="U27" s="7"/>
      <c r="V27" s="7" t="s">
        <v>123</v>
      </c>
      <c r="W27" s="7"/>
      <c r="X27" s="7"/>
      <c r="Y27" s="7"/>
      <c r="Z27" s="7"/>
      <c r="AA27" s="7"/>
      <c r="AB27" s="7"/>
      <c r="AC27" s="7"/>
      <c r="AD27" s="7"/>
      <c r="AE27" s="7"/>
      <c r="AF27" s="7"/>
      <c r="AG27" s="7"/>
      <c r="AH27" s="7"/>
      <c r="AI27" s="7"/>
      <c r="AJ27" s="7"/>
      <c r="AK27" s="7"/>
      <c r="AL27" s="7"/>
      <c r="AM27" s="7"/>
      <c r="AN27" s="7"/>
      <c r="AO27" s="7"/>
      <c r="AP27" s="7"/>
    </row>
    <row r="28" spans="1:53" hidden="1">
      <c r="A28" s="7"/>
      <c r="B28" s="79"/>
      <c r="C28" s="81" t="s">
        <v>20</v>
      </c>
      <c r="D28" s="43" t="s">
        <v>19</v>
      </c>
      <c r="E28" s="49"/>
      <c r="F28" s="48"/>
      <c r="G28" s="12"/>
      <c r="H28" s="9"/>
      <c r="I28" s="9"/>
      <c r="J28" s="9"/>
      <c r="K28" s="9"/>
      <c r="L28" s="9"/>
      <c r="M28" s="9"/>
      <c r="N28" s="9"/>
      <c r="O28" s="9"/>
      <c r="P28" s="9"/>
      <c r="Q28" s="9"/>
      <c r="R28" s="8"/>
      <c r="S28" s="8"/>
      <c r="T28" s="7"/>
      <c r="U28" s="7"/>
      <c r="V28" s="7"/>
      <c r="W28" s="7"/>
      <c r="X28" s="7"/>
      <c r="Y28" s="7"/>
      <c r="Z28" s="7"/>
      <c r="AA28" s="7"/>
      <c r="AB28" s="7"/>
      <c r="AC28" s="7"/>
      <c r="AD28" s="7"/>
      <c r="AE28" s="7"/>
      <c r="AF28" s="7"/>
      <c r="AG28" s="7"/>
      <c r="AH28" s="7"/>
      <c r="AI28" s="7"/>
      <c r="AJ28" s="7"/>
      <c r="AK28" s="7"/>
      <c r="AL28" s="7"/>
      <c r="AM28" s="7"/>
      <c r="AN28" s="7"/>
      <c r="AO28" s="7"/>
      <c r="AP28" s="7"/>
    </row>
    <row r="29" spans="1:53" ht="25.5" hidden="1">
      <c r="A29" s="7"/>
      <c r="B29" s="79"/>
      <c r="C29" s="83"/>
      <c r="D29" s="43" t="s">
        <v>18</v>
      </c>
      <c r="E29" s="47" t="s">
        <v>10</v>
      </c>
      <c r="F29" s="48"/>
      <c r="G29" s="12"/>
      <c r="H29" s="9"/>
      <c r="I29" s="9"/>
      <c r="J29" s="9"/>
      <c r="K29" s="9"/>
      <c r="L29" s="9"/>
      <c r="M29" s="9"/>
      <c r="N29" s="9"/>
      <c r="O29" s="9"/>
      <c r="P29" s="9"/>
      <c r="Q29" s="9"/>
      <c r="R29" s="8"/>
      <c r="S29" s="8"/>
      <c r="T29" s="7"/>
      <c r="U29" s="7"/>
      <c r="V29" s="7"/>
      <c r="W29" s="7"/>
      <c r="X29" s="7"/>
      <c r="Y29" s="7"/>
      <c r="Z29" s="7"/>
      <c r="AA29" s="7"/>
      <c r="AB29" s="7"/>
      <c r="AC29" s="7"/>
      <c r="AD29" s="7"/>
      <c r="AE29" s="7"/>
      <c r="AF29" s="7"/>
      <c r="AG29" s="7"/>
      <c r="AH29" s="7"/>
      <c r="AI29" s="7"/>
      <c r="AJ29" s="32"/>
      <c r="AK29" s="7"/>
      <c r="AL29" s="7"/>
      <c r="AM29" s="7"/>
      <c r="AN29" s="7"/>
      <c r="AO29" s="7"/>
      <c r="AP29" s="7"/>
    </row>
    <row r="30" spans="1:53" hidden="1">
      <c r="A30" s="7"/>
      <c r="B30" s="79"/>
      <c r="C30" s="83"/>
      <c r="D30" s="43" t="s">
        <v>17</v>
      </c>
      <c r="E30" s="49"/>
      <c r="F30" s="48"/>
      <c r="G30" s="12"/>
      <c r="H30" s="9"/>
      <c r="I30" s="9"/>
      <c r="J30" s="9"/>
      <c r="K30" s="9"/>
      <c r="L30" s="9"/>
      <c r="M30" s="9"/>
      <c r="N30" s="9"/>
      <c r="O30" s="9"/>
      <c r="P30" s="9"/>
      <c r="Q30" s="9"/>
      <c r="R30" s="8"/>
      <c r="S30" s="8"/>
      <c r="T30" s="7"/>
      <c r="U30" s="7"/>
      <c r="V30" s="7"/>
      <c r="W30" s="7"/>
      <c r="X30" s="7"/>
      <c r="Y30" s="7"/>
      <c r="Z30" s="7"/>
      <c r="AA30" s="7"/>
      <c r="AB30" s="7"/>
      <c r="AC30" s="7"/>
      <c r="AD30" s="7"/>
      <c r="AE30" s="7"/>
      <c r="AF30" s="7"/>
      <c r="AG30" s="7"/>
      <c r="AH30" s="7"/>
      <c r="AI30" s="7"/>
      <c r="AJ30" s="32"/>
      <c r="AK30" s="7"/>
      <c r="AL30" s="7"/>
      <c r="AM30" s="7"/>
      <c r="AN30" s="7"/>
      <c r="AO30" s="7"/>
      <c r="AP30" s="7"/>
    </row>
    <row r="31" spans="1:53" hidden="1">
      <c r="A31" s="7"/>
      <c r="B31" s="79"/>
      <c r="C31" s="83"/>
      <c r="D31" s="43" t="s">
        <v>16</v>
      </c>
      <c r="E31" s="49"/>
      <c r="F31" s="48"/>
      <c r="G31" s="12"/>
      <c r="H31" s="9"/>
      <c r="I31" s="9"/>
      <c r="J31" s="9"/>
      <c r="K31" s="9"/>
      <c r="L31" s="9"/>
      <c r="M31" s="9"/>
      <c r="N31" s="9"/>
      <c r="O31" s="9"/>
      <c r="P31" s="9"/>
      <c r="Q31" s="9"/>
      <c r="R31" s="8"/>
      <c r="S31" s="8"/>
      <c r="T31" s="7"/>
      <c r="U31" s="7"/>
      <c r="V31" s="7"/>
      <c r="W31" s="7"/>
      <c r="X31" s="7"/>
      <c r="Y31" s="7"/>
      <c r="Z31" s="7"/>
      <c r="AA31" s="7"/>
      <c r="AB31" s="7"/>
      <c r="AC31" s="7"/>
      <c r="AD31" s="7"/>
      <c r="AE31" s="7"/>
      <c r="AF31" s="7"/>
      <c r="AG31" s="7"/>
      <c r="AH31" s="7"/>
      <c r="AI31" s="7"/>
      <c r="AJ31" s="32"/>
      <c r="AK31" s="7"/>
      <c r="AL31" s="7"/>
      <c r="AM31" s="7"/>
      <c r="AN31" s="7"/>
      <c r="AO31" s="7"/>
      <c r="AP31" s="7"/>
    </row>
    <row r="32" spans="1:53" hidden="1">
      <c r="A32" s="7"/>
      <c r="B32" s="80"/>
      <c r="C32" s="82"/>
      <c r="D32" s="43" t="s">
        <v>15</v>
      </c>
      <c r="E32" s="49"/>
      <c r="F32" s="48"/>
      <c r="G32" s="12"/>
      <c r="H32" s="9"/>
      <c r="I32" s="9"/>
      <c r="J32" s="9"/>
      <c r="K32" s="9"/>
      <c r="L32" s="9"/>
      <c r="M32" s="9"/>
      <c r="N32" s="9"/>
      <c r="O32" s="9"/>
      <c r="P32" s="9"/>
      <c r="Q32" s="9"/>
      <c r="R32" s="8"/>
      <c r="S32" s="8"/>
      <c r="T32" s="7"/>
      <c r="U32" s="7"/>
      <c r="V32" s="7"/>
      <c r="W32" s="7"/>
      <c r="X32" s="7"/>
      <c r="Y32" s="7"/>
      <c r="Z32" s="7"/>
      <c r="AA32" s="7"/>
      <c r="AB32" s="7"/>
      <c r="AC32" s="7"/>
      <c r="AD32" s="7"/>
      <c r="AE32" s="7"/>
      <c r="AF32" s="7"/>
      <c r="AG32" s="7"/>
      <c r="AH32" s="7"/>
      <c r="AI32" s="7"/>
      <c r="AJ32" s="7"/>
      <c r="AK32" s="7"/>
      <c r="AL32" s="7"/>
      <c r="AM32" s="7"/>
      <c r="AN32" s="7"/>
      <c r="AO32" s="7"/>
      <c r="AP32" s="7"/>
    </row>
    <row r="33" spans="1:42" hidden="1">
      <c r="A33" s="7"/>
      <c r="B33" s="84" t="s">
        <v>14</v>
      </c>
      <c r="C33" s="84" t="s">
        <v>13</v>
      </c>
      <c r="D33" s="43" t="s">
        <v>12</v>
      </c>
      <c r="E33" s="47" t="s">
        <v>10</v>
      </c>
      <c r="F33" s="48"/>
      <c r="G33" s="12"/>
      <c r="H33" s="9"/>
      <c r="I33" s="9"/>
      <c r="J33" s="9"/>
      <c r="K33" s="9"/>
      <c r="L33" s="9"/>
      <c r="M33" s="9"/>
      <c r="N33" s="9"/>
      <c r="O33" s="9"/>
      <c r="P33" s="9"/>
      <c r="Q33" s="9"/>
      <c r="R33" s="8"/>
      <c r="S33" s="8"/>
      <c r="T33" s="7"/>
      <c r="U33" s="7"/>
      <c r="V33" s="7"/>
      <c r="W33" s="7"/>
      <c r="X33" s="7"/>
      <c r="Y33" s="7"/>
      <c r="Z33" s="7"/>
      <c r="AA33" s="7"/>
      <c r="AB33" s="7"/>
      <c r="AC33" s="7"/>
      <c r="AD33" s="7"/>
      <c r="AE33" s="7"/>
      <c r="AF33" s="7"/>
      <c r="AG33" s="7"/>
      <c r="AH33" s="7"/>
      <c r="AI33" s="7"/>
      <c r="AJ33" s="7"/>
      <c r="AK33" s="7"/>
      <c r="AL33" s="7"/>
      <c r="AM33" s="7"/>
      <c r="AN33" s="7"/>
      <c r="AO33" s="7"/>
      <c r="AP33" s="7"/>
    </row>
    <row r="34" spans="1:42" hidden="1">
      <c r="A34" s="7"/>
      <c r="B34" s="85"/>
      <c r="C34" s="84"/>
      <c r="D34" s="43" t="s">
        <v>11</v>
      </c>
      <c r="E34" s="47" t="s">
        <v>10</v>
      </c>
      <c r="F34" s="48"/>
      <c r="G34" s="12"/>
      <c r="H34" s="9"/>
      <c r="I34" s="9"/>
      <c r="J34" s="9"/>
      <c r="K34" s="9"/>
      <c r="L34" s="9"/>
      <c r="M34" s="9"/>
      <c r="N34" s="9"/>
      <c r="O34" s="9"/>
      <c r="P34" s="9"/>
      <c r="Q34" s="9"/>
      <c r="R34" s="8"/>
      <c r="S34" s="8"/>
      <c r="T34" s="7"/>
      <c r="U34" s="7"/>
      <c r="V34" s="7"/>
      <c r="W34" s="7"/>
      <c r="X34" s="7"/>
      <c r="Y34" s="7"/>
      <c r="Z34" s="7"/>
      <c r="AA34" s="7"/>
      <c r="AB34" s="7"/>
      <c r="AC34" s="7"/>
      <c r="AD34" s="7"/>
      <c r="AE34" s="7"/>
      <c r="AF34" s="7"/>
      <c r="AG34" s="7"/>
      <c r="AH34" s="7"/>
      <c r="AI34" s="7"/>
      <c r="AJ34" s="7"/>
      <c r="AK34" s="7"/>
      <c r="AL34" s="7"/>
      <c r="AM34" s="7"/>
      <c r="AN34" s="7"/>
      <c r="AO34" s="7"/>
      <c r="AP34" s="7"/>
    </row>
    <row r="35" spans="1:42" hidden="1">
      <c r="A35" s="7"/>
      <c r="B35" s="85"/>
      <c r="C35" s="84" t="s">
        <v>9</v>
      </c>
      <c r="D35" s="43" t="s">
        <v>8</v>
      </c>
      <c r="E35" s="49"/>
      <c r="F35" s="48"/>
      <c r="G35" s="12"/>
      <c r="H35" s="9"/>
      <c r="I35" s="9"/>
      <c r="J35" s="9"/>
      <c r="K35" s="9"/>
      <c r="L35" s="9"/>
      <c r="M35" s="9"/>
      <c r="N35" s="9"/>
      <c r="O35" s="9"/>
      <c r="P35" s="9"/>
      <c r="Q35" s="9"/>
      <c r="R35" s="8"/>
      <c r="S35" s="8"/>
      <c r="T35" s="7"/>
      <c r="U35" s="7"/>
      <c r="V35" s="7"/>
      <c r="W35" s="7"/>
      <c r="X35" s="7"/>
      <c r="Y35" s="7"/>
      <c r="Z35" s="7"/>
      <c r="AA35" s="7"/>
      <c r="AB35" s="7"/>
      <c r="AC35" s="7"/>
      <c r="AD35" s="7"/>
      <c r="AE35" s="7"/>
      <c r="AF35" s="7"/>
      <c r="AG35" s="7"/>
      <c r="AH35" s="7"/>
      <c r="AI35" s="7"/>
      <c r="AJ35" s="7"/>
      <c r="AK35" s="7"/>
      <c r="AL35" s="7"/>
      <c r="AM35" s="7"/>
      <c r="AN35" s="7"/>
      <c r="AO35" s="7"/>
      <c r="AP35" s="7"/>
    </row>
    <row r="36" spans="1:42" ht="25.5" hidden="1">
      <c r="A36" s="7"/>
      <c r="B36" s="85"/>
      <c r="C36" s="84"/>
      <c r="D36" s="43" t="s">
        <v>7</v>
      </c>
      <c r="E36" s="49"/>
      <c r="F36" s="48"/>
      <c r="G36" s="12"/>
      <c r="H36" s="9"/>
      <c r="I36" s="9"/>
      <c r="J36" s="9"/>
      <c r="K36" s="9"/>
      <c r="L36" s="9"/>
      <c r="M36" s="9"/>
      <c r="N36" s="9"/>
      <c r="O36" s="9"/>
      <c r="P36" s="9"/>
      <c r="Q36" s="9"/>
      <c r="R36" s="8"/>
      <c r="S36" s="8"/>
      <c r="T36" s="7"/>
      <c r="U36" s="7"/>
      <c r="V36" s="7"/>
      <c r="W36" s="7"/>
      <c r="X36" s="7"/>
      <c r="Y36" s="7"/>
      <c r="Z36" s="7"/>
      <c r="AA36" s="7"/>
      <c r="AB36" s="7"/>
      <c r="AC36" s="7"/>
      <c r="AD36" s="7"/>
      <c r="AE36" s="7"/>
      <c r="AF36" s="7"/>
      <c r="AG36" s="7"/>
      <c r="AH36" s="7"/>
      <c r="AI36" s="7"/>
      <c r="AJ36" s="7"/>
      <c r="AK36" s="7"/>
      <c r="AL36" s="7"/>
      <c r="AM36" s="7"/>
      <c r="AN36" s="7"/>
      <c r="AO36" s="7"/>
      <c r="AP36" s="7"/>
    </row>
    <row r="37" spans="1:42">
      <c r="A37" s="7"/>
      <c r="B37" s="7"/>
      <c r="C37" s="7"/>
      <c r="D37" s="8"/>
      <c r="E37" s="8"/>
      <c r="F37" s="8"/>
      <c r="G37" s="9"/>
      <c r="H37" s="9"/>
      <c r="I37" s="9"/>
      <c r="J37" s="9"/>
      <c r="K37" s="9"/>
      <c r="L37" s="9"/>
      <c r="M37" s="9"/>
      <c r="N37" s="9"/>
      <c r="O37" s="9"/>
      <c r="P37" s="9"/>
      <c r="Q37" s="9"/>
      <c r="R37" s="9"/>
      <c r="S37" s="8"/>
      <c r="T37" s="7"/>
      <c r="U37" s="7"/>
      <c r="V37" s="7"/>
      <c r="W37" s="7"/>
      <c r="X37" s="7"/>
      <c r="Y37" s="7"/>
      <c r="Z37" s="7"/>
      <c r="AA37" s="7"/>
      <c r="AB37" s="7"/>
      <c r="AC37" s="7"/>
      <c r="AD37" s="7"/>
      <c r="AE37" s="7"/>
      <c r="AF37" s="7"/>
      <c r="AG37" s="7"/>
      <c r="AH37" s="7"/>
      <c r="AI37" s="7"/>
      <c r="AJ37" s="7"/>
      <c r="AK37" s="7"/>
      <c r="AL37" s="7"/>
      <c r="AM37" s="7"/>
      <c r="AN37" s="7"/>
      <c r="AO37" s="7"/>
      <c r="AP37" s="7"/>
    </row>
    <row r="38" spans="1:42" ht="18">
      <c r="A38" s="7"/>
      <c r="B38" s="11" t="s">
        <v>6</v>
      </c>
      <c r="C38" s="7"/>
      <c r="D38" s="8"/>
      <c r="E38" s="8"/>
      <c r="F38" s="8"/>
      <c r="G38" s="9"/>
      <c r="H38" s="9"/>
      <c r="I38" s="9"/>
      <c r="J38" s="9"/>
      <c r="K38" s="9"/>
      <c r="L38" s="9"/>
      <c r="M38" s="9"/>
      <c r="N38" s="9"/>
      <c r="O38" s="9"/>
      <c r="P38" s="9"/>
      <c r="Q38" s="9"/>
      <c r="R38" s="8"/>
      <c r="S38" s="8"/>
      <c r="T38" s="7"/>
      <c r="U38" s="7"/>
      <c r="V38" s="7"/>
      <c r="W38" s="7"/>
      <c r="X38" s="7"/>
      <c r="Y38" s="7"/>
      <c r="Z38" s="7"/>
      <c r="AA38" s="7"/>
      <c r="AB38" s="7"/>
      <c r="AC38" s="7"/>
      <c r="AD38" s="7"/>
      <c r="AE38" s="7"/>
      <c r="AF38" s="7"/>
      <c r="AG38" s="7"/>
      <c r="AH38" s="7"/>
      <c r="AI38" s="7"/>
      <c r="AJ38" s="7"/>
      <c r="AK38" s="7"/>
      <c r="AL38" s="7"/>
      <c r="AM38" s="7"/>
      <c r="AN38" s="7"/>
      <c r="AO38" s="7"/>
      <c r="AP38" s="7"/>
    </row>
    <row r="39" spans="1:42" ht="48.75" customHeight="1">
      <c r="A39" s="7"/>
      <c r="B39" s="10" t="s">
        <v>5</v>
      </c>
      <c r="C39" s="10" t="s">
        <v>4</v>
      </c>
      <c r="D39" s="10" t="s">
        <v>3</v>
      </c>
      <c r="E39" s="33" t="s">
        <v>43</v>
      </c>
      <c r="F39" s="33" t="s">
        <v>44</v>
      </c>
      <c r="G39" s="33" t="s">
        <v>2</v>
      </c>
      <c r="H39" s="33" t="s">
        <v>1</v>
      </c>
      <c r="I39" s="10" t="s">
        <v>48</v>
      </c>
      <c r="J39" s="10" t="s">
        <v>49</v>
      </c>
      <c r="K39" s="33" t="s">
        <v>39</v>
      </c>
      <c r="L39" s="34">
        <f>C13</f>
        <v>41813</v>
      </c>
      <c r="M39" s="34">
        <f>IF(LEN(TRIM(L$39)) &lt;&gt; 0, IF(L$39+1 &lt;= $C$14, L$39+1, ""),"")</f>
        <v>41814</v>
      </c>
      <c r="N39" s="34">
        <f>IF(LEN(TRIM(M$39)) &lt;&gt; 0, IF(M$39+1 &lt;= $C$14, M$39+1, ""),"")</f>
        <v>41815</v>
      </c>
      <c r="O39" s="34">
        <f t="shared" ref="O39:AP39" si="36">IF(LEN(TRIM(N$39)) &lt;&gt; 0, IF(N$39+1 &lt;= $C$14, N$39+1, ""),"")</f>
        <v>41816</v>
      </c>
      <c r="P39" s="34">
        <f t="shared" si="36"/>
        <v>41817</v>
      </c>
      <c r="Q39" s="34" t="str">
        <f t="shared" si="36"/>
        <v/>
      </c>
      <c r="R39" s="34" t="str">
        <f t="shared" si="36"/>
        <v/>
      </c>
      <c r="S39" s="34" t="str">
        <f t="shared" si="36"/>
        <v/>
      </c>
      <c r="T39" s="34" t="str">
        <f t="shared" si="36"/>
        <v/>
      </c>
      <c r="U39" s="34" t="str">
        <f t="shared" si="36"/>
        <v/>
      </c>
      <c r="V39" s="34" t="str">
        <f t="shared" si="36"/>
        <v/>
      </c>
      <c r="W39" s="34" t="str">
        <f t="shared" si="36"/>
        <v/>
      </c>
      <c r="X39" s="34" t="str">
        <f t="shared" si="36"/>
        <v/>
      </c>
      <c r="Y39" s="34" t="str">
        <f t="shared" si="36"/>
        <v/>
      </c>
      <c r="Z39" s="34" t="str">
        <f t="shared" si="36"/>
        <v/>
      </c>
      <c r="AA39" s="34" t="str">
        <f t="shared" si="36"/>
        <v/>
      </c>
      <c r="AB39" s="34" t="str">
        <f t="shared" si="36"/>
        <v/>
      </c>
      <c r="AC39" s="34" t="str">
        <f t="shared" si="36"/>
        <v/>
      </c>
      <c r="AD39" s="34" t="str">
        <f t="shared" si="36"/>
        <v/>
      </c>
      <c r="AE39" s="34" t="str">
        <f t="shared" si="36"/>
        <v/>
      </c>
      <c r="AF39" s="34" t="str">
        <f t="shared" si="36"/>
        <v/>
      </c>
      <c r="AG39" s="34" t="str">
        <f t="shared" si="36"/>
        <v/>
      </c>
      <c r="AH39" s="34" t="str">
        <f t="shared" si="36"/>
        <v/>
      </c>
      <c r="AI39" s="34" t="str">
        <f t="shared" si="36"/>
        <v/>
      </c>
      <c r="AJ39" s="34" t="str">
        <f t="shared" si="36"/>
        <v/>
      </c>
      <c r="AK39" s="34" t="str">
        <f t="shared" si="36"/>
        <v/>
      </c>
      <c r="AL39" s="34" t="str">
        <f t="shared" si="36"/>
        <v/>
      </c>
      <c r="AM39" s="34" t="str">
        <f t="shared" si="36"/>
        <v/>
      </c>
      <c r="AN39" s="34" t="str">
        <f t="shared" si="36"/>
        <v/>
      </c>
      <c r="AO39" s="34" t="str">
        <f t="shared" si="36"/>
        <v/>
      </c>
      <c r="AP39" s="34" t="str">
        <f t="shared" si="36"/>
        <v/>
      </c>
    </row>
    <row r="40" spans="1:42" s="3" customFormat="1">
      <c r="B40" s="5"/>
      <c r="C40" s="53" t="str">
        <f>IF(LEN(TRIM(D40))&lt;&gt;0, "T"&amp;TEXT(ROW()-39,"00"),"")</f>
        <v/>
      </c>
      <c r="D40" s="5"/>
      <c r="E40" s="13"/>
      <c r="F40" s="13"/>
      <c r="G40" s="5"/>
      <c r="H40" s="5"/>
      <c r="I40" s="4"/>
      <c r="J40" s="51">
        <f t="shared" ref="J40:J100" si="37">SUM(L40:AP40)</f>
        <v>0</v>
      </c>
      <c r="K40" s="4"/>
      <c r="L40" s="4"/>
      <c r="M40" s="4"/>
      <c r="N40" s="4"/>
      <c r="O40" s="4"/>
      <c r="P40" s="4"/>
      <c r="Q40" s="13"/>
      <c r="R40" s="26"/>
      <c r="S40" s="26"/>
      <c r="T40" s="28"/>
      <c r="U40" s="28"/>
      <c r="V40" s="28"/>
      <c r="W40" s="28"/>
      <c r="X40" s="28"/>
      <c r="Y40" s="28"/>
      <c r="Z40" s="28"/>
      <c r="AA40" s="28"/>
      <c r="AB40" s="28"/>
      <c r="AC40" s="28"/>
      <c r="AD40" s="28"/>
      <c r="AE40" s="28"/>
      <c r="AF40" s="28"/>
      <c r="AG40" s="28"/>
      <c r="AH40" s="28"/>
      <c r="AI40" s="28"/>
      <c r="AJ40" s="28"/>
      <c r="AK40" s="13"/>
      <c r="AL40" s="13"/>
      <c r="AM40" s="13"/>
      <c r="AN40" s="13"/>
      <c r="AO40" s="13"/>
      <c r="AP40" s="13"/>
    </row>
    <row r="41" spans="1:42" s="3" customFormat="1">
      <c r="B41" s="5"/>
      <c r="C41" s="53" t="str">
        <f>IF(LEN(TRIM(D41))&lt;&gt;0, "T"&amp;TEXT(ROW()-39,"00"),"")</f>
        <v/>
      </c>
      <c r="D41" s="5"/>
      <c r="E41" s="13"/>
      <c r="F41" s="13"/>
      <c r="G41" s="5"/>
      <c r="H41" s="5"/>
      <c r="I41" s="4"/>
      <c r="J41" s="51">
        <f t="shared" si="37"/>
        <v>0</v>
      </c>
      <c r="K41" s="4"/>
      <c r="L41" s="4"/>
      <c r="M41" s="4"/>
      <c r="N41" s="4"/>
      <c r="O41" s="4"/>
      <c r="P41" s="4"/>
      <c r="Q41" s="13"/>
      <c r="R41" s="26"/>
      <c r="S41" s="26"/>
      <c r="T41" s="28"/>
      <c r="U41" s="28"/>
      <c r="V41" s="28"/>
      <c r="W41" s="28"/>
      <c r="X41" s="28"/>
      <c r="Y41" s="28"/>
      <c r="Z41" s="28"/>
      <c r="AA41" s="28"/>
      <c r="AB41" s="28"/>
      <c r="AC41" s="28"/>
      <c r="AD41" s="28"/>
      <c r="AE41" s="28"/>
      <c r="AF41" s="28"/>
      <c r="AG41" s="28"/>
      <c r="AH41" s="28"/>
      <c r="AI41" s="28"/>
      <c r="AJ41" s="28"/>
      <c r="AK41" s="13"/>
      <c r="AL41" s="13"/>
      <c r="AM41" s="13"/>
      <c r="AN41" s="13"/>
      <c r="AO41" s="13"/>
      <c r="AP41" s="13"/>
    </row>
    <row r="42" spans="1:42" s="3" customFormat="1">
      <c r="B42" s="5"/>
      <c r="C42" s="53" t="str">
        <f>IF(LEN(TRIM(D42))&lt;&gt;0, "T"&amp;TEXT(ROW()-39,"00"),"")</f>
        <v/>
      </c>
      <c r="D42" s="5"/>
      <c r="E42" s="13"/>
      <c r="F42" s="13"/>
      <c r="G42" s="5"/>
      <c r="H42" s="5"/>
      <c r="I42" s="4"/>
      <c r="J42" s="51">
        <f t="shared" si="37"/>
        <v>0</v>
      </c>
      <c r="K42" s="4"/>
      <c r="L42" s="4"/>
      <c r="M42" s="4"/>
      <c r="N42" s="4"/>
      <c r="O42" s="4"/>
      <c r="P42" s="4"/>
      <c r="Q42" s="13"/>
      <c r="R42" s="26"/>
      <c r="S42" s="26"/>
      <c r="T42" s="28"/>
      <c r="U42" s="28"/>
      <c r="V42" s="28"/>
      <c r="W42" s="28"/>
      <c r="X42" s="28"/>
      <c r="Y42" s="28"/>
      <c r="Z42" s="28"/>
      <c r="AA42" s="28"/>
      <c r="AB42" s="28"/>
      <c r="AC42" s="28"/>
      <c r="AD42" s="28"/>
      <c r="AE42" s="28"/>
      <c r="AF42" s="28"/>
      <c r="AG42" s="28"/>
      <c r="AH42" s="28"/>
      <c r="AI42" s="28"/>
      <c r="AJ42" s="28"/>
      <c r="AK42" s="13"/>
      <c r="AL42" s="13"/>
      <c r="AM42" s="13"/>
      <c r="AN42" s="13"/>
      <c r="AO42" s="13"/>
      <c r="AP42" s="13"/>
    </row>
    <row r="43" spans="1:42" s="3" customFormat="1">
      <c r="B43" s="5"/>
      <c r="C43" s="53" t="str">
        <f t="shared" ref="C43:C100" si="38">IF(LEN(TRIM(D43))&lt;&gt;0, "T"&amp;TEXT(ROW()-39,"00"),"")</f>
        <v/>
      </c>
      <c r="D43" s="5"/>
      <c r="E43" s="13"/>
      <c r="F43" s="13"/>
      <c r="G43" s="5"/>
      <c r="H43" s="5"/>
      <c r="I43" s="4"/>
      <c r="J43" s="51">
        <f t="shared" si="37"/>
        <v>0</v>
      </c>
      <c r="K43" s="4"/>
      <c r="L43" s="4"/>
      <c r="M43" s="4"/>
      <c r="N43" s="4"/>
      <c r="O43" s="4"/>
      <c r="P43" s="4"/>
      <c r="Q43" s="13"/>
      <c r="R43" s="26"/>
      <c r="S43" s="26"/>
      <c r="T43" s="28"/>
      <c r="U43" s="28"/>
      <c r="V43" s="28"/>
      <c r="W43" s="28"/>
      <c r="X43" s="28"/>
      <c r="Y43" s="28"/>
      <c r="Z43" s="28"/>
      <c r="AA43" s="28"/>
      <c r="AB43" s="28"/>
      <c r="AC43" s="28"/>
      <c r="AD43" s="28"/>
      <c r="AE43" s="28"/>
      <c r="AF43" s="28"/>
      <c r="AG43" s="28"/>
      <c r="AH43" s="28"/>
      <c r="AI43" s="28"/>
      <c r="AJ43" s="28"/>
      <c r="AK43" s="13"/>
      <c r="AL43" s="13"/>
      <c r="AM43" s="13"/>
      <c r="AN43" s="13"/>
      <c r="AO43" s="13"/>
      <c r="AP43" s="13"/>
    </row>
    <row r="44" spans="1:42" s="3" customFormat="1" ht="26.25" customHeight="1">
      <c r="B44" s="5"/>
      <c r="C44" s="53" t="str">
        <f t="shared" si="38"/>
        <v/>
      </c>
      <c r="D44" s="5"/>
      <c r="E44" s="13"/>
      <c r="F44" s="13"/>
      <c r="G44" s="5"/>
      <c r="H44" s="5"/>
      <c r="I44" s="4"/>
      <c r="J44" s="51">
        <f t="shared" si="37"/>
        <v>0</v>
      </c>
      <c r="K44" s="4"/>
      <c r="L44" s="4"/>
      <c r="M44" s="4"/>
      <c r="N44" s="4"/>
      <c r="O44" s="4"/>
      <c r="P44" s="4"/>
      <c r="Q44" s="13"/>
      <c r="R44" s="26"/>
      <c r="S44" s="26"/>
      <c r="T44" s="28"/>
      <c r="U44" s="28"/>
      <c r="V44" s="28"/>
      <c r="W44" s="28"/>
      <c r="X44" s="28"/>
      <c r="Y44" s="28"/>
      <c r="Z44" s="28"/>
      <c r="AA44" s="28"/>
      <c r="AB44" s="28"/>
      <c r="AC44" s="28"/>
      <c r="AD44" s="28"/>
      <c r="AE44" s="28"/>
      <c r="AF44" s="28"/>
      <c r="AG44" s="28"/>
      <c r="AH44" s="28"/>
      <c r="AI44" s="28"/>
      <c r="AJ44" s="28"/>
      <c r="AK44" s="13"/>
      <c r="AL44" s="13"/>
      <c r="AM44" s="13"/>
      <c r="AN44" s="13"/>
      <c r="AO44" s="13"/>
      <c r="AP44" s="13"/>
    </row>
    <row r="45" spans="1:42" s="3" customFormat="1" ht="26.25" customHeight="1">
      <c r="B45" s="5"/>
      <c r="C45" s="53" t="str">
        <f t="shared" si="38"/>
        <v/>
      </c>
      <c r="D45" s="5"/>
      <c r="E45" s="13"/>
      <c r="F45" s="13"/>
      <c r="G45" s="5"/>
      <c r="H45" s="5"/>
      <c r="I45" s="4"/>
      <c r="J45" s="51">
        <f t="shared" si="37"/>
        <v>0</v>
      </c>
      <c r="K45" s="4"/>
      <c r="L45" s="4"/>
      <c r="M45" s="4"/>
      <c r="N45" s="4"/>
      <c r="O45" s="4"/>
      <c r="P45" s="4"/>
      <c r="Q45" s="13"/>
      <c r="R45" s="26"/>
      <c r="S45" s="26"/>
      <c r="T45" s="28"/>
      <c r="U45" s="28"/>
      <c r="V45" s="28"/>
      <c r="W45" s="28"/>
      <c r="X45" s="28"/>
      <c r="Y45" s="28"/>
      <c r="Z45" s="28"/>
      <c r="AA45" s="28"/>
      <c r="AB45" s="28"/>
      <c r="AC45" s="28"/>
      <c r="AD45" s="28"/>
      <c r="AE45" s="28"/>
      <c r="AF45" s="28"/>
      <c r="AG45" s="28"/>
      <c r="AH45" s="28"/>
      <c r="AI45" s="28"/>
      <c r="AJ45" s="28"/>
      <c r="AK45" s="13"/>
      <c r="AL45" s="13"/>
      <c r="AM45" s="13"/>
      <c r="AN45" s="13"/>
      <c r="AO45" s="13"/>
      <c r="AP45" s="13"/>
    </row>
    <row r="46" spans="1:42" s="3" customFormat="1" ht="26.25" customHeight="1">
      <c r="B46" s="5"/>
      <c r="C46" s="53" t="str">
        <f t="shared" si="38"/>
        <v/>
      </c>
      <c r="D46" s="5"/>
      <c r="E46" s="13"/>
      <c r="F46" s="13"/>
      <c r="G46" s="5"/>
      <c r="H46" s="5"/>
      <c r="I46" s="4"/>
      <c r="J46" s="51">
        <f t="shared" si="37"/>
        <v>0</v>
      </c>
      <c r="K46" s="4"/>
      <c r="L46" s="4"/>
      <c r="M46" s="4"/>
      <c r="N46" s="4"/>
      <c r="O46" s="4"/>
      <c r="P46" s="4"/>
      <c r="Q46" s="13"/>
      <c r="R46" s="26"/>
      <c r="S46" s="26"/>
      <c r="T46" s="28"/>
      <c r="U46" s="28"/>
      <c r="V46" s="28"/>
      <c r="W46" s="28"/>
      <c r="X46" s="28"/>
      <c r="Y46" s="28"/>
      <c r="Z46" s="28"/>
      <c r="AA46" s="28"/>
      <c r="AB46" s="28"/>
      <c r="AC46" s="28"/>
      <c r="AD46" s="28"/>
      <c r="AE46" s="28"/>
      <c r="AF46" s="28"/>
      <c r="AG46" s="28"/>
      <c r="AH46" s="28"/>
      <c r="AI46" s="28"/>
      <c r="AJ46" s="28"/>
      <c r="AK46" s="13"/>
      <c r="AL46" s="13"/>
      <c r="AM46" s="13"/>
      <c r="AN46" s="13"/>
      <c r="AO46" s="13"/>
      <c r="AP46" s="13"/>
    </row>
    <row r="47" spans="1:42" s="3" customFormat="1">
      <c r="B47" s="5"/>
      <c r="C47" s="53" t="str">
        <f t="shared" si="38"/>
        <v/>
      </c>
      <c r="D47" s="5"/>
      <c r="E47" s="13"/>
      <c r="F47" s="13"/>
      <c r="G47" s="5"/>
      <c r="H47" s="5"/>
      <c r="I47" s="4"/>
      <c r="J47" s="51">
        <f t="shared" si="37"/>
        <v>0</v>
      </c>
      <c r="K47" s="4"/>
      <c r="L47" s="4"/>
      <c r="M47" s="4"/>
      <c r="N47" s="4"/>
      <c r="O47" s="4"/>
      <c r="P47" s="4"/>
      <c r="Q47" s="13"/>
      <c r="R47" s="26"/>
      <c r="S47" s="26"/>
      <c r="T47" s="28"/>
      <c r="U47" s="28"/>
      <c r="V47" s="28"/>
      <c r="W47" s="28"/>
      <c r="X47" s="28"/>
      <c r="Y47" s="28"/>
      <c r="Z47" s="28"/>
      <c r="AA47" s="28"/>
      <c r="AB47" s="28"/>
      <c r="AC47" s="28"/>
      <c r="AD47" s="28"/>
      <c r="AE47" s="28"/>
      <c r="AF47" s="28"/>
      <c r="AG47" s="28"/>
      <c r="AH47" s="28"/>
      <c r="AI47" s="28"/>
      <c r="AJ47" s="28"/>
      <c r="AK47" s="13"/>
      <c r="AL47" s="13"/>
      <c r="AM47" s="13"/>
      <c r="AN47" s="13"/>
      <c r="AO47" s="13"/>
      <c r="AP47" s="13"/>
    </row>
    <row r="48" spans="1:42" s="3" customFormat="1">
      <c r="B48" s="5"/>
      <c r="C48" s="53" t="str">
        <f t="shared" si="38"/>
        <v/>
      </c>
      <c r="D48" s="5"/>
      <c r="E48" s="13"/>
      <c r="F48" s="13"/>
      <c r="G48" s="5"/>
      <c r="H48" s="5"/>
      <c r="I48" s="4"/>
      <c r="J48" s="51">
        <f t="shared" si="37"/>
        <v>0</v>
      </c>
      <c r="K48" s="4"/>
      <c r="L48" s="4"/>
      <c r="M48" s="4"/>
      <c r="N48" s="4"/>
      <c r="O48" s="4"/>
      <c r="P48" s="4"/>
      <c r="Q48" s="13"/>
      <c r="R48" s="26"/>
      <c r="S48" s="26"/>
      <c r="T48" s="28"/>
      <c r="U48" s="28"/>
      <c r="V48" s="28"/>
      <c r="W48" s="28"/>
      <c r="X48" s="28"/>
      <c r="Y48" s="28"/>
      <c r="Z48" s="28"/>
      <c r="AA48" s="28"/>
      <c r="AB48" s="28"/>
      <c r="AC48" s="28"/>
      <c r="AD48" s="28"/>
      <c r="AE48" s="28"/>
      <c r="AF48" s="28"/>
      <c r="AG48" s="28"/>
      <c r="AH48" s="28"/>
      <c r="AI48" s="28"/>
      <c r="AJ48" s="28"/>
      <c r="AK48" s="13"/>
      <c r="AL48" s="13"/>
      <c r="AM48" s="13"/>
      <c r="AN48" s="13"/>
      <c r="AO48" s="13"/>
      <c r="AP48" s="13"/>
    </row>
    <row r="49" spans="2:42" s="3" customFormat="1">
      <c r="B49" s="5"/>
      <c r="C49" s="53" t="str">
        <f t="shared" si="38"/>
        <v/>
      </c>
      <c r="D49" s="5"/>
      <c r="E49" s="13"/>
      <c r="F49" s="13"/>
      <c r="G49" s="5"/>
      <c r="H49" s="5"/>
      <c r="I49" s="4"/>
      <c r="J49" s="51">
        <f t="shared" si="37"/>
        <v>0</v>
      </c>
      <c r="K49" s="4"/>
      <c r="L49" s="4"/>
      <c r="M49" s="4"/>
      <c r="N49" s="4"/>
      <c r="O49" s="4"/>
      <c r="P49" s="4"/>
      <c r="Q49" s="13"/>
      <c r="R49" s="26"/>
      <c r="S49" s="26"/>
      <c r="T49" s="28"/>
      <c r="U49" s="28"/>
      <c r="V49" s="28"/>
      <c r="W49" s="28"/>
      <c r="X49" s="28"/>
      <c r="Y49" s="28"/>
      <c r="Z49" s="28"/>
      <c r="AA49" s="28"/>
      <c r="AB49" s="28"/>
      <c r="AC49" s="28"/>
      <c r="AD49" s="28"/>
      <c r="AE49" s="28"/>
      <c r="AF49" s="28"/>
      <c r="AG49" s="28"/>
      <c r="AH49" s="28"/>
      <c r="AI49" s="28"/>
      <c r="AJ49" s="28"/>
      <c r="AK49" s="13"/>
      <c r="AL49" s="13"/>
      <c r="AM49" s="13"/>
      <c r="AN49" s="13"/>
      <c r="AO49" s="13"/>
      <c r="AP49" s="13"/>
    </row>
    <row r="50" spans="2:42" s="3" customFormat="1">
      <c r="B50" s="5"/>
      <c r="C50" s="53" t="str">
        <f t="shared" si="38"/>
        <v/>
      </c>
      <c r="D50" s="5"/>
      <c r="E50" s="13"/>
      <c r="F50" s="13"/>
      <c r="G50" s="5"/>
      <c r="H50" s="5"/>
      <c r="I50" s="4"/>
      <c r="J50" s="51">
        <f t="shared" si="37"/>
        <v>0</v>
      </c>
      <c r="K50" s="4"/>
      <c r="L50" s="4"/>
      <c r="M50" s="4"/>
      <c r="N50" s="4"/>
      <c r="O50" s="4"/>
      <c r="P50" s="4"/>
      <c r="Q50" s="13"/>
      <c r="R50" s="26"/>
      <c r="S50" s="26"/>
      <c r="T50" s="28"/>
      <c r="U50" s="28"/>
      <c r="V50" s="28"/>
      <c r="W50" s="28"/>
      <c r="X50" s="28"/>
      <c r="Y50" s="28"/>
      <c r="Z50" s="28"/>
      <c r="AA50" s="28"/>
      <c r="AB50" s="28"/>
      <c r="AC50" s="28"/>
      <c r="AD50" s="28"/>
      <c r="AE50" s="28"/>
      <c r="AF50" s="28"/>
      <c r="AG50" s="28"/>
      <c r="AH50" s="28"/>
      <c r="AI50" s="28"/>
      <c r="AJ50" s="28"/>
      <c r="AK50" s="13"/>
      <c r="AL50" s="13"/>
      <c r="AM50" s="13"/>
      <c r="AN50" s="13"/>
      <c r="AO50" s="13"/>
      <c r="AP50" s="13"/>
    </row>
    <row r="51" spans="2:42" s="3" customFormat="1">
      <c r="B51" s="5"/>
      <c r="C51" s="53" t="str">
        <f t="shared" si="38"/>
        <v/>
      </c>
      <c r="D51" s="5"/>
      <c r="E51" s="13"/>
      <c r="F51" s="13"/>
      <c r="G51" s="5"/>
      <c r="H51" s="5"/>
      <c r="I51" s="4"/>
      <c r="J51" s="51">
        <f t="shared" si="37"/>
        <v>0</v>
      </c>
      <c r="K51" s="4"/>
      <c r="L51" s="4"/>
      <c r="M51" s="4"/>
      <c r="N51" s="4"/>
      <c r="O51" s="4"/>
      <c r="P51" s="4"/>
      <c r="Q51" s="13"/>
      <c r="R51" s="26"/>
      <c r="S51" s="26"/>
      <c r="T51" s="28"/>
      <c r="U51" s="28"/>
      <c r="V51" s="28"/>
      <c r="W51" s="28"/>
      <c r="X51" s="28"/>
      <c r="Y51" s="28"/>
      <c r="Z51" s="28"/>
      <c r="AA51" s="28"/>
      <c r="AB51" s="28"/>
      <c r="AC51" s="28"/>
      <c r="AD51" s="28"/>
      <c r="AE51" s="28"/>
      <c r="AF51" s="28"/>
      <c r="AG51" s="28"/>
      <c r="AH51" s="28"/>
      <c r="AI51" s="28"/>
      <c r="AJ51" s="28"/>
      <c r="AK51" s="13"/>
      <c r="AL51" s="13"/>
      <c r="AM51" s="13"/>
      <c r="AN51" s="13"/>
      <c r="AO51" s="13"/>
      <c r="AP51" s="13"/>
    </row>
    <row r="52" spans="2:42" s="3" customFormat="1">
      <c r="B52" s="5"/>
      <c r="C52" s="53" t="str">
        <f t="shared" si="38"/>
        <v/>
      </c>
      <c r="D52" s="5"/>
      <c r="E52" s="13"/>
      <c r="F52" s="13"/>
      <c r="G52" s="5"/>
      <c r="H52" s="5"/>
      <c r="I52" s="4"/>
      <c r="J52" s="51">
        <f t="shared" si="37"/>
        <v>0</v>
      </c>
      <c r="K52" s="4"/>
      <c r="L52" s="4"/>
      <c r="M52" s="4"/>
      <c r="N52" s="4"/>
      <c r="O52" s="4"/>
      <c r="P52" s="4"/>
      <c r="Q52" s="13"/>
      <c r="R52" s="26"/>
      <c r="S52" s="26"/>
      <c r="T52" s="28"/>
      <c r="U52" s="28"/>
      <c r="V52" s="28"/>
      <c r="W52" s="28"/>
      <c r="X52" s="28"/>
      <c r="Y52" s="28"/>
      <c r="Z52" s="28"/>
      <c r="AA52" s="28"/>
      <c r="AB52" s="28"/>
      <c r="AC52" s="28"/>
      <c r="AD52" s="28"/>
      <c r="AE52" s="28"/>
      <c r="AF52" s="28"/>
      <c r="AG52" s="28"/>
      <c r="AH52" s="28"/>
      <c r="AI52" s="28"/>
      <c r="AJ52" s="28"/>
      <c r="AK52" s="13"/>
      <c r="AL52" s="13"/>
      <c r="AM52" s="13"/>
      <c r="AN52" s="13"/>
      <c r="AO52" s="13"/>
      <c r="AP52" s="13"/>
    </row>
    <row r="53" spans="2:42" s="3" customFormat="1">
      <c r="B53" s="5"/>
      <c r="C53" s="53" t="str">
        <f t="shared" si="38"/>
        <v/>
      </c>
      <c r="D53" s="5"/>
      <c r="E53" s="13"/>
      <c r="F53" s="13"/>
      <c r="G53" s="5"/>
      <c r="H53" s="5"/>
      <c r="I53" s="4"/>
      <c r="J53" s="51">
        <f t="shared" si="37"/>
        <v>0</v>
      </c>
      <c r="K53" s="4"/>
      <c r="L53" s="4"/>
      <c r="M53" s="4"/>
      <c r="N53" s="4"/>
      <c r="O53" s="4"/>
      <c r="P53" s="4"/>
      <c r="Q53" s="13"/>
      <c r="R53" s="26"/>
      <c r="S53" s="26"/>
      <c r="T53" s="28"/>
      <c r="U53" s="28"/>
      <c r="V53" s="28"/>
      <c r="W53" s="28"/>
      <c r="X53" s="28"/>
      <c r="Y53" s="28"/>
      <c r="Z53" s="28"/>
      <c r="AA53" s="28"/>
      <c r="AB53" s="28"/>
      <c r="AC53" s="28"/>
      <c r="AD53" s="28"/>
      <c r="AE53" s="28"/>
      <c r="AF53" s="28"/>
      <c r="AG53" s="28"/>
      <c r="AH53" s="28"/>
      <c r="AI53" s="28"/>
      <c r="AJ53" s="28"/>
      <c r="AK53" s="13"/>
      <c r="AL53" s="13"/>
      <c r="AM53" s="13"/>
      <c r="AN53" s="13"/>
      <c r="AO53" s="13"/>
      <c r="AP53" s="13"/>
    </row>
    <row r="54" spans="2:42" s="3" customFormat="1">
      <c r="B54" s="5"/>
      <c r="C54" s="53" t="str">
        <f t="shared" si="38"/>
        <v/>
      </c>
      <c r="D54" s="5"/>
      <c r="E54" s="13"/>
      <c r="F54" s="13"/>
      <c r="G54" s="5"/>
      <c r="H54" s="5"/>
      <c r="I54" s="4"/>
      <c r="J54" s="51">
        <f t="shared" si="37"/>
        <v>0</v>
      </c>
      <c r="K54" s="4"/>
      <c r="L54" s="4"/>
      <c r="M54" s="4"/>
      <c r="N54" s="4"/>
      <c r="O54" s="4"/>
      <c r="P54" s="4"/>
      <c r="Q54" s="13"/>
      <c r="R54" s="26"/>
      <c r="S54" s="26"/>
      <c r="T54" s="28"/>
      <c r="U54" s="28"/>
      <c r="V54" s="28"/>
      <c r="W54" s="28"/>
      <c r="X54" s="28"/>
      <c r="Y54" s="28"/>
      <c r="Z54" s="28"/>
      <c r="AA54" s="28"/>
      <c r="AB54" s="28"/>
      <c r="AC54" s="28"/>
      <c r="AD54" s="28"/>
      <c r="AE54" s="28"/>
      <c r="AF54" s="28"/>
      <c r="AG54" s="28"/>
      <c r="AH54" s="28"/>
      <c r="AI54" s="28"/>
      <c r="AJ54" s="28"/>
      <c r="AK54" s="13"/>
      <c r="AL54" s="13"/>
      <c r="AM54" s="13"/>
      <c r="AN54" s="13"/>
      <c r="AO54" s="13"/>
      <c r="AP54" s="13"/>
    </row>
    <row r="55" spans="2:42" s="3" customFormat="1">
      <c r="B55" s="5"/>
      <c r="C55" s="53" t="str">
        <f t="shared" si="38"/>
        <v/>
      </c>
      <c r="D55" s="5"/>
      <c r="E55" s="13"/>
      <c r="F55" s="13"/>
      <c r="G55" s="5"/>
      <c r="H55" s="5"/>
      <c r="I55" s="4"/>
      <c r="J55" s="51">
        <f t="shared" si="37"/>
        <v>0</v>
      </c>
      <c r="K55" s="4"/>
      <c r="L55" s="4"/>
      <c r="M55" s="4"/>
      <c r="N55" s="4"/>
      <c r="O55" s="4"/>
      <c r="P55" s="4"/>
      <c r="Q55" s="13"/>
      <c r="R55" s="26"/>
      <c r="S55" s="26"/>
      <c r="T55" s="28"/>
      <c r="U55" s="28"/>
      <c r="V55" s="28"/>
      <c r="W55" s="28"/>
      <c r="X55" s="28"/>
      <c r="Y55" s="28"/>
      <c r="Z55" s="28"/>
      <c r="AA55" s="28"/>
      <c r="AB55" s="28"/>
      <c r="AC55" s="28"/>
      <c r="AD55" s="28"/>
      <c r="AE55" s="28"/>
      <c r="AF55" s="28"/>
      <c r="AG55" s="28"/>
      <c r="AH55" s="28"/>
      <c r="AI55" s="28"/>
      <c r="AJ55" s="28"/>
      <c r="AK55" s="13"/>
      <c r="AL55" s="13"/>
      <c r="AM55" s="13"/>
      <c r="AN55" s="13"/>
      <c r="AO55" s="13"/>
      <c r="AP55" s="13"/>
    </row>
    <row r="56" spans="2:42" s="3" customFormat="1">
      <c r="B56" s="5"/>
      <c r="C56" s="53" t="str">
        <f t="shared" si="38"/>
        <v/>
      </c>
      <c r="D56" s="5"/>
      <c r="E56" s="13"/>
      <c r="F56" s="13"/>
      <c r="G56" s="5"/>
      <c r="H56" s="5"/>
      <c r="I56" s="4"/>
      <c r="J56" s="51">
        <f t="shared" si="37"/>
        <v>0</v>
      </c>
      <c r="K56" s="4"/>
      <c r="L56" s="4"/>
      <c r="M56" s="4"/>
      <c r="N56" s="4"/>
      <c r="O56" s="4"/>
      <c r="P56" s="4"/>
      <c r="Q56" s="13"/>
      <c r="R56" s="26"/>
      <c r="S56" s="26"/>
      <c r="T56" s="28"/>
      <c r="U56" s="28"/>
      <c r="V56" s="28"/>
      <c r="W56" s="28"/>
      <c r="X56" s="28"/>
      <c r="Y56" s="28"/>
      <c r="Z56" s="28"/>
      <c r="AA56" s="28"/>
      <c r="AB56" s="28"/>
      <c r="AC56" s="28"/>
      <c r="AD56" s="28"/>
      <c r="AE56" s="28"/>
      <c r="AF56" s="28"/>
      <c r="AG56" s="28"/>
      <c r="AH56" s="28"/>
      <c r="AI56" s="28"/>
      <c r="AJ56" s="28"/>
      <c r="AK56" s="13"/>
      <c r="AL56" s="13"/>
      <c r="AM56" s="13"/>
      <c r="AN56" s="13"/>
      <c r="AO56" s="13"/>
      <c r="AP56" s="13"/>
    </row>
    <row r="57" spans="2:42" s="3" customFormat="1">
      <c r="B57" s="5"/>
      <c r="C57" s="53" t="str">
        <f t="shared" si="38"/>
        <v/>
      </c>
      <c r="D57" s="6"/>
      <c r="E57" s="13"/>
      <c r="F57" s="13"/>
      <c r="G57" s="5"/>
      <c r="H57" s="5"/>
      <c r="I57" s="4"/>
      <c r="J57" s="51">
        <f t="shared" si="37"/>
        <v>0</v>
      </c>
      <c r="K57" s="4"/>
      <c r="L57" s="4"/>
      <c r="M57" s="4"/>
      <c r="N57" s="4"/>
      <c r="O57" s="4"/>
      <c r="P57" s="4"/>
      <c r="Q57" s="13"/>
      <c r="R57" s="26"/>
      <c r="S57" s="26"/>
      <c r="T57" s="28"/>
      <c r="U57" s="28"/>
      <c r="V57" s="28"/>
      <c r="W57" s="28"/>
      <c r="X57" s="28"/>
      <c r="Y57" s="28"/>
      <c r="Z57" s="28"/>
      <c r="AA57" s="28"/>
      <c r="AB57" s="28"/>
      <c r="AC57" s="28"/>
      <c r="AD57" s="28"/>
      <c r="AE57" s="28"/>
      <c r="AF57" s="28"/>
      <c r="AG57" s="28"/>
      <c r="AH57" s="28"/>
      <c r="AI57" s="28"/>
      <c r="AJ57" s="28"/>
      <c r="AK57" s="13"/>
      <c r="AL57" s="13"/>
      <c r="AM57" s="13"/>
      <c r="AN57" s="13"/>
      <c r="AO57" s="13"/>
      <c r="AP57" s="13"/>
    </row>
    <row r="58" spans="2:42" s="3" customFormat="1">
      <c r="B58" s="5"/>
      <c r="C58" s="53" t="str">
        <f t="shared" si="38"/>
        <v/>
      </c>
      <c r="D58" s="6"/>
      <c r="E58" s="13"/>
      <c r="F58" s="13"/>
      <c r="G58" s="5"/>
      <c r="H58" s="5"/>
      <c r="I58" s="4"/>
      <c r="J58" s="51">
        <f t="shared" si="37"/>
        <v>0</v>
      </c>
      <c r="K58" s="4"/>
      <c r="L58" s="4"/>
      <c r="M58" s="4"/>
      <c r="N58" s="4"/>
      <c r="O58" s="4"/>
      <c r="P58" s="4"/>
      <c r="Q58" s="13"/>
      <c r="R58" s="26"/>
      <c r="S58" s="26"/>
      <c r="T58" s="28"/>
      <c r="U58" s="28"/>
      <c r="V58" s="28"/>
      <c r="W58" s="28"/>
      <c r="X58" s="28"/>
      <c r="Y58" s="28"/>
      <c r="Z58" s="28"/>
      <c r="AA58" s="28"/>
      <c r="AB58" s="28"/>
      <c r="AC58" s="28"/>
      <c r="AD58" s="28"/>
      <c r="AE58" s="28"/>
      <c r="AF58" s="28"/>
      <c r="AG58" s="28"/>
      <c r="AH58" s="28"/>
      <c r="AI58" s="28"/>
      <c r="AJ58" s="28"/>
      <c r="AK58" s="13"/>
      <c r="AL58" s="13"/>
      <c r="AM58" s="13"/>
      <c r="AN58" s="13"/>
      <c r="AO58" s="13"/>
      <c r="AP58" s="13"/>
    </row>
    <row r="59" spans="2:42" s="3" customFormat="1">
      <c r="B59" s="5"/>
      <c r="C59" s="53" t="str">
        <f t="shared" si="38"/>
        <v/>
      </c>
      <c r="D59" s="6"/>
      <c r="E59" s="13"/>
      <c r="F59" s="13"/>
      <c r="G59" s="5"/>
      <c r="H59" s="5"/>
      <c r="I59" s="4"/>
      <c r="J59" s="51">
        <f t="shared" si="37"/>
        <v>0</v>
      </c>
      <c r="K59" s="4"/>
      <c r="L59" s="4"/>
      <c r="M59" s="4"/>
      <c r="N59" s="4"/>
      <c r="O59" s="4"/>
      <c r="P59" s="4"/>
      <c r="Q59" s="13"/>
      <c r="R59" s="26"/>
      <c r="S59" s="26"/>
      <c r="T59" s="28"/>
      <c r="U59" s="28"/>
      <c r="V59" s="28"/>
      <c r="W59" s="28"/>
      <c r="X59" s="28"/>
      <c r="Y59" s="28"/>
      <c r="Z59" s="28"/>
      <c r="AA59" s="28"/>
      <c r="AB59" s="28"/>
      <c r="AC59" s="28"/>
      <c r="AD59" s="28"/>
      <c r="AE59" s="28"/>
      <c r="AF59" s="28"/>
      <c r="AG59" s="28"/>
      <c r="AH59" s="28"/>
      <c r="AI59" s="28"/>
      <c r="AJ59" s="28"/>
      <c r="AK59" s="13"/>
      <c r="AL59" s="13"/>
      <c r="AM59" s="13"/>
      <c r="AN59" s="13"/>
      <c r="AO59" s="13"/>
      <c r="AP59" s="13"/>
    </row>
    <row r="60" spans="2:42" s="3" customFormat="1">
      <c r="B60" s="5"/>
      <c r="C60" s="53" t="str">
        <f t="shared" si="38"/>
        <v/>
      </c>
      <c r="D60" s="6"/>
      <c r="E60" s="13"/>
      <c r="F60" s="13"/>
      <c r="G60" s="5"/>
      <c r="H60" s="5"/>
      <c r="I60" s="4"/>
      <c r="J60" s="51">
        <f t="shared" si="37"/>
        <v>0</v>
      </c>
      <c r="K60" s="4"/>
      <c r="L60" s="4"/>
      <c r="M60" s="4"/>
      <c r="N60" s="4"/>
      <c r="O60" s="4"/>
      <c r="P60" s="4"/>
      <c r="Q60" s="13"/>
      <c r="R60" s="26"/>
      <c r="S60" s="26"/>
      <c r="T60" s="28"/>
      <c r="U60" s="28"/>
      <c r="V60" s="28"/>
      <c r="W60" s="28"/>
      <c r="X60" s="28"/>
      <c r="Y60" s="28"/>
      <c r="Z60" s="28"/>
      <c r="AA60" s="28"/>
      <c r="AB60" s="28"/>
      <c r="AC60" s="28"/>
      <c r="AD60" s="28"/>
      <c r="AE60" s="28"/>
      <c r="AF60" s="28"/>
      <c r="AG60" s="28"/>
      <c r="AH60" s="28"/>
      <c r="AI60" s="28"/>
      <c r="AJ60" s="28"/>
      <c r="AK60" s="13"/>
      <c r="AL60" s="13"/>
      <c r="AM60" s="13"/>
      <c r="AN60" s="13"/>
      <c r="AO60" s="13"/>
      <c r="AP60" s="13"/>
    </row>
    <row r="61" spans="2:42" s="3" customFormat="1">
      <c r="B61" s="5"/>
      <c r="C61" s="53" t="str">
        <f t="shared" si="38"/>
        <v/>
      </c>
      <c r="D61" s="5"/>
      <c r="E61" s="13"/>
      <c r="F61" s="13"/>
      <c r="G61" s="5"/>
      <c r="H61" s="5"/>
      <c r="I61" s="4"/>
      <c r="J61" s="51">
        <f t="shared" si="37"/>
        <v>0</v>
      </c>
      <c r="K61" s="4"/>
      <c r="L61" s="4"/>
      <c r="M61" s="4"/>
      <c r="N61" s="4"/>
      <c r="O61" s="4"/>
      <c r="P61" s="4"/>
      <c r="Q61" s="13"/>
      <c r="R61" s="26"/>
      <c r="S61" s="26"/>
      <c r="T61" s="28"/>
      <c r="U61" s="28"/>
      <c r="V61" s="28"/>
      <c r="W61" s="28"/>
      <c r="X61" s="28"/>
      <c r="Y61" s="28"/>
      <c r="Z61" s="28"/>
      <c r="AA61" s="28"/>
      <c r="AB61" s="28"/>
      <c r="AC61" s="28"/>
      <c r="AD61" s="28"/>
      <c r="AE61" s="28"/>
      <c r="AF61" s="28"/>
      <c r="AG61" s="28"/>
      <c r="AH61" s="28"/>
      <c r="AI61" s="28"/>
      <c r="AJ61" s="28"/>
      <c r="AK61" s="13"/>
      <c r="AL61" s="13"/>
      <c r="AM61" s="13"/>
      <c r="AN61" s="13"/>
      <c r="AO61" s="13"/>
      <c r="AP61" s="13"/>
    </row>
    <row r="62" spans="2:42" s="3" customFormat="1">
      <c r="B62" s="5"/>
      <c r="C62" s="53" t="str">
        <f t="shared" si="38"/>
        <v/>
      </c>
      <c r="D62" s="5"/>
      <c r="E62" s="13"/>
      <c r="F62" s="13"/>
      <c r="G62" s="5"/>
      <c r="H62" s="5"/>
      <c r="I62" s="4"/>
      <c r="J62" s="51">
        <f t="shared" si="37"/>
        <v>0</v>
      </c>
      <c r="K62" s="4"/>
      <c r="L62" s="4"/>
      <c r="M62" s="4"/>
      <c r="N62" s="4"/>
      <c r="O62" s="4"/>
      <c r="P62" s="4"/>
      <c r="Q62" s="13"/>
      <c r="R62" s="26"/>
      <c r="S62" s="26"/>
      <c r="T62" s="28"/>
      <c r="U62" s="28"/>
      <c r="V62" s="28"/>
      <c r="W62" s="28"/>
      <c r="X62" s="28"/>
      <c r="Y62" s="28"/>
      <c r="Z62" s="28"/>
      <c r="AA62" s="28"/>
      <c r="AB62" s="28"/>
      <c r="AC62" s="28"/>
      <c r="AD62" s="28"/>
      <c r="AE62" s="28"/>
      <c r="AF62" s="28"/>
      <c r="AG62" s="28"/>
      <c r="AH62" s="28"/>
      <c r="AI62" s="28"/>
      <c r="AJ62" s="28"/>
      <c r="AK62" s="13"/>
      <c r="AL62" s="13"/>
      <c r="AM62" s="13"/>
      <c r="AN62" s="13"/>
      <c r="AO62" s="13"/>
      <c r="AP62" s="13"/>
    </row>
    <row r="63" spans="2:42">
      <c r="B63" s="5"/>
      <c r="C63" s="53" t="str">
        <f t="shared" si="38"/>
        <v/>
      </c>
      <c r="D63" s="5"/>
      <c r="E63" s="26"/>
      <c r="F63" s="26"/>
      <c r="G63" s="5"/>
      <c r="H63" s="5"/>
      <c r="I63" s="4"/>
      <c r="J63" s="51">
        <f t="shared" si="37"/>
        <v>0</v>
      </c>
      <c r="K63" s="4"/>
      <c r="L63" s="4"/>
      <c r="M63" s="4"/>
      <c r="N63" s="4"/>
      <c r="O63" s="4"/>
      <c r="P63" s="4"/>
      <c r="Q63" s="26"/>
      <c r="R63" s="26"/>
      <c r="S63" s="28"/>
      <c r="T63" s="28"/>
      <c r="U63" s="28"/>
      <c r="V63" s="28"/>
      <c r="W63" s="28"/>
      <c r="X63" s="28"/>
      <c r="Y63" s="28"/>
      <c r="Z63" s="28"/>
      <c r="AA63" s="28"/>
      <c r="AB63" s="28"/>
      <c r="AC63" s="28"/>
      <c r="AD63" s="28"/>
      <c r="AE63" s="28"/>
      <c r="AF63" s="28"/>
      <c r="AG63" s="28"/>
      <c r="AH63" s="28"/>
      <c r="AI63" s="28"/>
      <c r="AJ63" s="28"/>
      <c r="AK63" s="28"/>
      <c r="AL63" s="28"/>
      <c r="AM63" s="28"/>
      <c r="AN63" s="28"/>
      <c r="AO63" s="28"/>
      <c r="AP63" s="28"/>
    </row>
    <row r="64" spans="2:42">
      <c r="B64" s="5"/>
      <c r="C64" s="53" t="str">
        <f t="shared" si="38"/>
        <v/>
      </c>
      <c r="D64" s="5"/>
      <c r="E64" s="26"/>
      <c r="F64" s="26"/>
      <c r="G64" s="5"/>
      <c r="H64" s="5"/>
      <c r="I64" s="4"/>
      <c r="J64" s="51">
        <f t="shared" si="37"/>
        <v>0</v>
      </c>
      <c r="K64" s="4"/>
      <c r="L64" s="4"/>
      <c r="M64" s="4"/>
      <c r="N64" s="4"/>
      <c r="O64" s="4"/>
      <c r="P64" s="4"/>
      <c r="Q64" s="26"/>
      <c r="R64" s="26"/>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row>
    <row r="65" spans="2:42">
      <c r="B65" s="5"/>
      <c r="C65" s="53" t="str">
        <f t="shared" si="38"/>
        <v/>
      </c>
      <c r="D65" s="5"/>
      <c r="E65" s="26"/>
      <c r="F65" s="26"/>
      <c r="G65" s="5"/>
      <c r="H65" s="5"/>
      <c r="I65" s="4"/>
      <c r="J65" s="51">
        <f t="shared" si="37"/>
        <v>0</v>
      </c>
      <c r="K65" s="4"/>
      <c r="L65" s="4"/>
      <c r="M65" s="4"/>
      <c r="N65" s="4"/>
      <c r="O65" s="4"/>
      <c r="P65" s="4"/>
      <c r="Q65" s="26"/>
      <c r="R65" s="26"/>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row>
    <row r="66" spans="2:42">
      <c r="B66" s="5"/>
      <c r="C66" s="53" t="str">
        <f t="shared" si="38"/>
        <v/>
      </c>
      <c r="D66" s="5"/>
      <c r="E66" s="26"/>
      <c r="F66" s="26"/>
      <c r="G66" s="5"/>
      <c r="H66" s="5"/>
      <c r="I66" s="4"/>
      <c r="J66" s="51">
        <f t="shared" si="37"/>
        <v>0</v>
      </c>
      <c r="K66" s="4"/>
      <c r="L66" s="4"/>
      <c r="M66" s="4"/>
      <c r="N66" s="4"/>
      <c r="O66" s="4"/>
      <c r="P66" s="4"/>
      <c r="Q66" s="26"/>
      <c r="R66" s="26"/>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row>
    <row r="67" spans="2:42">
      <c r="B67" s="5"/>
      <c r="C67" s="53" t="str">
        <f t="shared" si="38"/>
        <v/>
      </c>
      <c r="D67" s="5"/>
      <c r="E67" s="26"/>
      <c r="F67" s="26"/>
      <c r="G67" s="5"/>
      <c r="H67" s="5"/>
      <c r="I67" s="4"/>
      <c r="J67" s="51">
        <f t="shared" si="37"/>
        <v>0</v>
      </c>
      <c r="K67" s="4"/>
      <c r="L67" s="4"/>
      <c r="M67" s="4"/>
      <c r="N67" s="4"/>
      <c r="O67" s="4"/>
      <c r="P67" s="4"/>
      <c r="Q67" s="26"/>
      <c r="R67" s="26"/>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row>
    <row r="68" spans="2:42">
      <c r="B68" s="5"/>
      <c r="C68" s="53" t="str">
        <f t="shared" si="38"/>
        <v/>
      </c>
      <c r="D68" s="5"/>
      <c r="E68" s="26"/>
      <c r="F68" s="26"/>
      <c r="G68" s="5"/>
      <c r="H68" s="5"/>
      <c r="I68" s="4"/>
      <c r="J68" s="51">
        <f t="shared" si="37"/>
        <v>0</v>
      </c>
      <c r="K68" s="4"/>
      <c r="L68" s="4"/>
      <c r="M68" s="4"/>
      <c r="N68" s="4"/>
      <c r="O68" s="4"/>
      <c r="P68" s="4"/>
      <c r="Q68" s="26"/>
      <c r="R68" s="26"/>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row>
    <row r="69" spans="2:42">
      <c r="B69" s="5"/>
      <c r="C69" s="53" t="str">
        <f t="shared" si="38"/>
        <v/>
      </c>
      <c r="D69" s="5"/>
      <c r="E69" s="26"/>
      <c r="F69" s="26"/>
      <c r="G69" s="5"/>
      <c r="H69" s="5"/>
      <c r="I69" s="4"/>
      <c r="J69" s="51">
        <f t="shared" si="37"/>
        <v>0</v>
      </c>
      <c r="K69" s="4"/>
      <c r="L69" s="4"/>
      <c r="M69" s="4"/>
      <c r="N69" s="4"/>
      <c r="O69" s="4"/>
      <c r="P69" s="4"/>
      <c r="Q69" s="26"/>
      <c r="R69" s="26"/>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row>
    <row r="70" spans="2:42">
      <c r="B70" s="5"/>
      <c r="C70" s="53" t="str">
        <f t="shared" si="38"/>
        <v/>
      </c>
      <c r="D70" s="5"/>
      <c r="E70" s="26"/>
      <c r="F70" s="26"/>
      <c r="G70" s="5"/>
      <c r="H70" s="5"/>
      <c r="I70" s="4"/>
      <c r="J70" s="51">
        <f t="shared" si="37"/>
        <v>0</v>
      </c>
      <c r="K70" s="4"/>
      <c r="L70" s="4"/>
      <c r="M70" s="4"/>
      <c r="N70" s="4"/>
      <c r="O70" s="4"/>
      <c r="P70" s="4"/>
      <c r="Q70" s="26"/>
      <c r="R70" s="26"/>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row>
    <row r="71" spans="2:42">
      <c r="B71" s="5"/>
      <c r="C71" s="53" t="str">
        <f t="shared" si="38"/>
        <v/>
      </c>
      <c r="D71" s="5"/>
      <c r="E71" s="26"/>
      <c r="F71" s="26"/>
      <c r="G71" s="5"/>
      <c r="H71" s="5"/>
      <c r="I71" s="4"/>
      <c r="J71" s="51">
        <f t="shared" si="37"/>
        <v>0</v>
      </c>
      <c r="K71" s="4"/>
      <c r="L71" s="4"/>
      <c r="M71" s="4"/>
      <c r="N71" s="4"/>
      <c r="O71" s="4"/>
      <c r="P71" s="4"/>
      <c r="Q71" s="26"/>
      <c r="R71" s="26"/>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row>
    <row r="72" spans="2:42">
      <c r="B72" s="5"/>
      <c r="C72" s="53" t="str">
        <f t="shared" si="38"/>
        <v/>
      </c>
      <c r="D72" s="5"/>
      <c r="E72" s="26"/>
      <c r="F72" s="26"/>
      <c r="G72" s="5"/>
      <c r="H72" s="5"/>
      <c r="I72" s="4"/>
      <c r="J72" s="51">
        <f t="shared" si="37"/>
        <v>0</v>
      </c>
      <c r="K72" s="4"/>
      <c r="L72" s="4"/>
      <c r="M72" s="4"/>
      <c r="N72" s="4"/>
      <c r="O72" s="4"/>
      <c r="P72" s="4"/>
      <c r="Q72" s="26"/>
      <c r="R72" s="26"/>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row>
    <row r="73" spans="2:42">
      <c r="B73" s="5"/>
      <c r="C73" s="53" t="str">
        <f t="shared" si="38"/>
        <v/>
      </c>
      <c r="D73" s="5"/>
      <c r="E73" s="26"/>
      <c r="F73" s="26"/>
      <c r="G73" s="5"/>
      <c r="H73" s="5"/>
      <c r="I73" s="4"/>
      <c r="J73" s="51">
        <f t="shared" si="37"/>
        <v>0</v>
      </c>
      <c r="K73" s="4"/>
      <c r="L73" s="4"/>
      <c r="M73" s="4"/>
      <c r="N73" s="4"/>
      <c r="O73" s="4"/>
      <c r="P73" s="4"/>
      <c r="Q73" s="26"/>
      <c r="R73" s="26"/>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row>
    <row r="74" spans="2:42">
      <c r="B74" s="5"/>
      <c r="C74" s="53" t="str">
        <f t="shared" si="38"/>
        <v/>
      </c>
      <c r="D74" s="5"/>
      <c r="E74" s="26"/>
      <c r="F74" s="26"/>
      <c r="G74" s="5"/>
      <c r="H74" s="5"/>
      <c r="I74" s="4"/>
      <c r="J74" s="51">
        <f t="shared" si="37"/>
        <v>0</v>
      </c>
      <c r="K74" s="4"/>
      <c r="L74" s="4"/>
      <c r="M74" s="4"/>
      <c r="N74" s="4"/>
      <c r="O74" s="4"/>
      <c r="P74" s="4"/>
      <c r="Q74" s="26"/>
      <c r="R74" s="26"/>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row>
    <row r="75" spans="2:42">
      <c r="B75" s="5"/>
      <c r="C75" s="53" t="str">
        <f t="shared" si="38"/>
        <v/>
      </c>
      <c r="D75" s="5"/>
      <c r="E75" s="26"/>
      <c r="F75" s="26"/>
      <c r="G75" s="5"/>
      <c r="H75" s="5"/>
      <c r="I75" s="4"/>
      <c r="J75" s="51">
        <f t="shared" si="37"/>
        <v>0</v>
      </c>
      <c r="K75" s="4"/>
      <c r="L75" s="4"/>
      <c r="M75" s="4"/>
      <c r="N75" s="4"/>
      <c r="O75" s="4"/>
      <c r="P75" s="4"/>
      <c r="Q75" s="26"/>
      <c r="R75" s="26"/>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row>
    <row r="76" spans="2:42">
      <c r="B76" s="5"/>
      <c r="C76" s="53" t="str">
        <f t="shared" si="38"/>
        <v/>
      </c>
      <c r="D76" s="5"/>
      <c r="E76" s="26"/>
      <c r="F76" s="26"/>
      <c r="G76" s="5"/>
      <c r="H76" s="5"/>
      <c r="I76" s="4"/>
      <c r="J76" s="51">
        <f t="shared" si="37"/>
        <v>0</v>
      </c>
      <c r="K76" s="4"/>
      <c r="L76" s="4"/>
      <c r="M76" s="4"/>
      <c r="N76" s="4"/>
      <c r="O76" s="4"/>
      <c r="P76" s="4"/>
      <c r="Q76" s="26"/>
      <c r="R76" s="26"/>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row>
    <row r="77" spans="2:42">
      <c r="B77" s="5"/>
      <c r="C77" s="53" t="str">
        <f t="shared" si="38"/>
        <v/>
      </c>
      <c r="D77" s="5"/>
      <c r="E77" s="26"/>
      <c r="F77" s="26"/>
      <c r="G77" s="5"/>
      <c r="H77" s="5"/>
      <c r="I77" s="4"/>
      <c r="J77" s="51">
        <f t="shared" si="37"/>
        <v>0</v>
      </c>
      <c r="K77" s="4"/>
      <c r="L77" s="4"/>
      <c r="M77" s="4"/>
      <c r="N77" s="4"/>
      <c r="O77" s="4"/>
      <c r="P77" s="4"/>
      <c r="Q77" s="26"/>
      <c r="R77" s="26"/>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row>
    <row r="78" spans="2:42">
      <c r="B78" s="5"/>
      <c r="C78" s="53" t="str">
        <f t="shared" si="38"/>
        <v/>
      </c>
      <c r="D78" s="5"/>
      <c r="E78" s="26"/>
      <c r="F78" s="26"/>
      <c r="G78" s="5"/>
      <c r="H78" s="5"/>
      <c r="I78" s="4"/>
      <c r="J78" s="51">
        <f t="shared" si="37"/>
        <v>0</v>
      </c>
      <c r="K78" s="4"/>
      <c r="L78" s="4"/>
      <c r="M78" s="4"/>
      <c r="N78" s="4"/>
      <c r="O78" s="4"/>
      <c r="P78" s="4"/>
      <c r="Q78" s="26"/>
      <c r="R78" s="26"/>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row>
    <row r="79" spans="2:42">
      <c r="B79" s="5"/>
      <c r="C79" s="53" t="str">
        <f t="shared" si="38"/>
        <v/>
      </c>
      <c r="D79" s="5"/>
      <c r="E79" s="26"/>
      <c r="F79" s="26"/>
      <c r="G79" s="5"/>
      <c r="H79" s="5"/>
      <c r="I79" s="4"/>
      <c r="J79" s="51">
        <f t="shared" si="37"/>
        <v>0</v>
      </c>
      <c r="K79" s="4"/>
      <c r="L79" s="4"/>
      <c r="M79" s="4"/>
      <c r="N79" s="4"/>
      <c r="O79" s="4"/>
      <c r="P79" s="4"/>
      <c r="Q79" s="26"/>
      <c r="R79" s="26"/>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row>
    <row r="80" spans="2:42">
      <c r="B80" s="5"/>
      <c r="C80" s="53" t="str">
        <f t="shared" si="38"/>
        <v/>
      </c>
      <c r="D80" s="5"/>
      <c r="E80" s="26"/>
      <c r="F80" s="26"/>
      <c r="G80" s="5"/>
      <c r="H80" s="5"/>
      <c r="I80" s="4"/>
      <c r="J80" s="51">
        <f t="shared" si="37"/>
        <v>0</v>
      </c>
      <c r="K80" s="4"/>
      <c r="L80" s="4"/>
      <c r="M80" s="4"/>
      <c r="N80" s="4"/>
      <c r="O80" s="4"/>
      <c r="P80" s="4"/>
      <c r="Q80" s="26"/>
      <c r="R80" s="26"/>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row>
    <row r="81" spans="2:42">
      <c r="B81" s="5"/>
      <c r="C81" s="53" t="str">
        <f t="shared" si="38"/>
        <v/>
      </c>
      <c r="D81" s="5"/>
      <c r="E81" s="26"/>
      <c r="F81" s="26"/>
      <c r="G81" s="5"/>
      <c r="H81" s="5"/>
      <c r="I81" s="4"/>
      <c r="J81" s="51">
        <f t="shared" si="37"/>
        <v>0</v>
      </c>
      <c r="K81" s="4"/>
      <c r="L81" s="4"/>
      <c r="M81" s="4"/>
      <c r="N81" s="4"/>
      <c r="O81" s="4"/>
      <c r="P81" s="4"/>
      <c r="Q81" s="26"/>
      <c r="R81" s="26"/>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row>
    <row r="82" spans="2:42">
      <c r="B82" s="5"/>
      <c r="C82" s="53" t="str">
        <f t="shared" si="38"/>
        <v/>
      </c>
      <c r="D82" s="5"/>
      <c r="E82" s="26"/>
      <c r="F82" s="26"/>
      <c r="G82" s="5"/>
      <c r="H82" s="5"/>
      <c r="I82" s="4"/>
      <c r="J82" s="51">
        <f t="shared" si="37"/>
        <v>0</v>
      </c>
      <c r="K82" s="4"/>
      <c r="L82" s="4"/>
      <c r="M82" s="4"/>
      <c r="N82" s="4"/>
      <c r="O82" s="4"/>
      <c r="P82" s="4"/>
      <c r="Q82" s="26"/>
      <c r="R82" s="26"/>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row>
    <row r="83" spans="2:42">
      <c r="B83" s="5"/>
      <c r="C83" s="53" t="str">
        <f t="shared" si="38"/>
        <v/>
      </c>
      <c r="D83" s="5"/>
      <c r="E83" s="26"/>
      <c r="F83" s="26"/>
      <c r="G83" s="5"/>
      <c r="H83" s="5"/>
      <c r="I83" s="4"/>
      <c r="J83" s="51">
        <f t="shared" si="37"/>
        <v>0</v>
      </c>
      <c r="K83" s="4"/>
      <c r="L83" s="4"/>
      <c r="M83" s="4"/>
      <c r="N83" s="4"/>
      <c r="O83" s="4"/>
      <c r="P83" s="4"/>
      <c r="Q83" s="26"/>
      <c r="R83" s="26"/>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row>
    <row r="84" spans="2:42">
      <c r="B84" s="5"/>
      <c r="C84" s="53" t="str">
        <f t="shared" si="38"/>
        <v/>
      </c>
      <c r="D84" s="5"/>
      <c r="E84" s="26"/>
      <c r="F84" s="26"/>
      <c r="G84" s="5"/>
      <c r="H84" s="5"/>
      <c r="I84" s="4"/>
      <c r="J84" s="51">
        <f t="shared" si="37"/>
        <v>0</v>
      </c>
      <c r="K84" s="4"/>
      <c r="L84" s="4"/>
      <c r="M84" s="4"/>
      <c r="N84" s="4"/>
      <c r="O84" s="4"/>
      <c r="P84" s="4"/>
      <c r="Q84" s="26"/>
      <c r="R84" s="26"/>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row>
    <row r="85" spans="2:42">
      <c r="B85" s="5"/>
      <c r="C85" s="53" t="str">
        <f t="shared" si="38"/>
        <v/>
      </c>
      <c r="D85" s="5"/>
      <c r="E85" s="26"/>
      <c r="F85" s="26"/>
      <c r="G85" s="5"/>
      <c r="H85" s="5"/>
      <c r="I85" s="4"/>
      <c r="J85" s="51">
        <f t="shared" si="37"/>
        <v>0</v>
      </c>
      <c r="K85" s="4"/>
      <c r="L85" s="4"/>
      <c r="M85" s="4"/>
      <c r="N85" s="4"/>
      <c r="O85" s="4"/>
      <c r="P85" s="4"/>
      <c r="Q85" s="26"/>
      <c r="R85" s="26"/>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row>
    <row r="86" spans="2:42">
      <c r="B86" s="5"/>
      <c r="C86" s="53" t="str">
        <f t="shared" si="38"/>
        <v/>
      </c>
      <c r="D86" s="5"/>
      <c r="E86" s="26"/>
      <c r="F86" s="26"/>
      <c r="G86" s="5"/>
      <c r="H86" s="5"/>
      <c r="I86" s="4"/>
      <c r="J86" s="51">
        <f t="shared" si="37"/>
        <v>0</v>
      </c>
      <c r="K86" s="4"/>
      <c r="L86" s="4"/>
      <c r="M86" s="4"/>
      <c r="N86" s="4"/>
      <c r="O86" s="4"/>
      <c r="P86" s="4"/>
      <c r="Q86" s="26"/>
      <c r="R86" s="26"/>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row>
    <row r="87" spans="2:42">
      <c r="B87" s="5"/>
      <c r="C87" s="53" t="str">
        <f t="shared" si="38"/>
        <v/>
      </c>
      <c r="D87" s="5"/>
      <c r="E87" s="26"/>
      <c r="F87" s="26"/>
      <c r="G87" s="5"/>
      <c r="H87" s="5"/>
      <c r="I87" s="4"/>
      <c r="J87" s="51">
        <f t="shared" si="37"/>
        <v>0</v>
      </c>
      <c r="K87" s="4"/>
      <c r="L87" s="4"/>
      <c r="M87" s="4"/>
      <c r="N87" s="4"/>
      <c r="O87" s="4"/>
      <c r="P87" s="4"/>
      <c r="Q87" s="26"/>
      <c r="R87" s="26"/>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row>
    <row r="88" spans="2:42">
      <c r="B88" s="5"/>
      <c r="C88" s="53" t="str">
        <f t="shared" si="38"/>
        <v/>
      </c>
      <c r="D88" s="5"/>
      <c r="E88" s="26"/>
      <c r="F88" s="26"/>
      <c r="G88" s="5"/>
      <c r="H88" s="5"/>
      <c r="I88" s="4"/>
      <c r="J88" s="51">
        <f t="shared" si="37"/>
        <v>0</v>
      </c>
      <c r="K88" s="4"/>
      <c r="L88" s="4"/>
      <c r="M88" s="4"/>
      <c r="N88" s="4"/>
      <c r="O88" s="4"/>
      <c r="P88" s="4"/>
      <c r="Q88" s="26"/>
      <c r="R88" s="26"/>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row>
    <row r="89" spans="2:42">
      <c r="B89" s="5"/>
      <c r="C89" s="53" t="str">
        <f t="shared" si="38"/>
        <v/>
      </c>
      <c r="D89" s="5"/>
      <c r="E89" s="26"/>
      <c r="F89" s="26"/>
      <c r="G89" s="5"/>
      <c r="H89" s="5"/>
      <c r="I89" s="4"/>
      <c r="J89" s="51">
        <f t="shared" si="37"/>
        <v>0</v>
      </c>
      <c r="K89" s="4"/>
      <c r="L89" s="4"/>
      <c r="M89" s="4"/>
      <c r="N89" s="4"/>
      <c r="O89" s="4"/>
      <c r="P89" s="4"/>
      <c r="Q89" s="26"/>
      <c r="R89" s="26"/>
      <c r="S89" s="28"/>
      <c r="T89" s="28"/>
      <c r="U89" s="28"/>
      <c r="V89" s="28"/>
      <c r="W89" s="28"/>
      <c r="X89" s="28"/>
      <c r="Y89" s="28"/>
      <c r="Z89" s="28"/>
      <c r="AA89" s="28"/>
      <c r="AB89" s="28"/>
      <c r="AC89" s="28"/>
      <c r="AD89" s="28"/>
      <c r="AE89" s="28"/>
      <c r="AF89" s="28"/>
      <c r="AG89" s="28"/>
      <c r="AH89" s="28"/>
      <c r="AI89" s="28"/>
      <c r="AJ89" s="28"/>
      <c r="AK89" s="28"/>
      <c r="AL89" s="28"/>
      <c r="AM89" s="28"/>
      <c r="AN89" s="28"/>
      <c r="AO89" s="28"/>
      <c r="AP89" s="28"/>
    </row>
    <row r="90" spans="2:42">
      <c r="B90" s="5"/>
      <c r="C90" s="53" t="str">
        <f t="shared" si="38"/>
        <v/>
      </c>
      <c r="D90" s="5"/>
      <c r="E90" s="26"/>
      <c r="F90" s="26"/>
      <c r="G90" s="5"/>
      <c r="H90" s="5"/>
      <c r="I90" s="4"/>
      <c r="J90" s="51">
        <f t="shared" si="37"/>
        <v>0</v>
      </c>
      <c r="K90" s="4"/>
      <c r="L90" s="4"/>
      <c r="M90" s="4"/>
      <c r="N90" s="4"/>
      <c r="O90" s="4"/>
      <c r="P90" s="4"/>
      <c r="Q90" s="26"/>
      <c r="R90" s="26"/>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row>
    <row r="91" spans="2:42">
      <c r="B91" s="5"/>
      <c r="C91" s="53" t="str">
        <f t="shared" si="38"/>
        <v/>
      </c>
      <c r="D91" s="5"/>
      <c r="E91" s="26"/>
      <c r="F91" s="26"/>
      <c r="G91" s="5"/>
      <c r="H91" s="5"/>
      <c r="I91" s="4"/>
      <c r="J91" s="51">
        <f t="shared" si="37"/>
        <v>0</v>
      </c>
      <c r="K91" s="4"/>
      <c r="L91" s="4"/>
      <c r="M91" s="4"/>
      <c r="N91" s="4"/>
      <c r="O91" s="4"/>
      <c r="P91" s="4"/>
      <c r="Q91" s="26"/>
      <c r="R91" s="26"/>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row>
    <row r="92" spans="2:42">
      <c r="B92" s="5"/>
      <c r="C92" s="53" t="str">
        <f t="shared" si="38"/>
        <v/>
      </c>
      <c r="D92" s="5"/>
      <c r="E92" s="26"/>
      <c r="F92" s="26"/>
      <c r="G92" s="5"/>
      <c r="H92" s="5"/>
      <c r="I92" s="4"/>
      <c r="J92" s="51">
        <f t="shared" si="37"/>
        <v>0</v>
      </c>
      <c r="K92" s="4"/>
      <c r="L92" s="4"/>
      <c r="M92" s="4"/>
      <c r="N92" s="4"/>
      <c r="O92" s="4"/>
      <c r="P92" s="4"/>
      <c r="Q92" s="26"/>
      <c r="R92" s="26"/>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row>
    <row r="93" spans="2:42">
      <c r="B93" s="5"/>
      <c r="C93" s="53" t="str">
        <f t="shared" si="38"/>
        <v/>
      </c>
      <c r="D93" s="5"/>
      <c r="E93" s="26"/>
      <c r="F93" s="26"/>
      <c r="G93" s="5"/>
      <c r="H93" s="5"/>
      <c r="I93" s="4"/>
      <c r="J93" s="51">
        <f t="shared" si="37"/>
        <v>0</v>
      </c>
      <c r="K93" s="4"/>
      <c r="L93" s="4"/>
      <c r="M93" s="4"/>
      <c r="N93" s="4"/>
      <c r="O93" s="4"/>
      <c r="P93" s="4"/>
      <c r="Q93" s="26"/>
      <c r="R93" s="26"/>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row>
    <row r="94" spans="2:42">
      <c r="B94" s="5"/>
      <c r="C94" s="53" t="str">
        <f t="shared" si="38"/>
        <v/>
      </c>
      <c r="D94" s="5"/>
      <c r="E94" s="26"/>
      <c r="F94" s="26"/>
      <c r="G94" s="5"/>
      <c r="H94" s="5"/>
      <c r="I94" s="4"/>
      <c r="J94" s="51">
        <f t="shared" si="37"/>
        <v>0</v>
      </c>
      <c r="K94" s="4"/>
      <c r="L94" s="4"/>
      <c r="M94" s="4"/>
      <c r="N94" s="4"/>
      <c r="O94" s="4"/>
      <c r="P94" s="4"/>
      <c r="Q94" s="26"/>
      <c r="R94" s="26"/>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row>
    <row r="95" spans="2:42">
      <c r="B95" s="5"/>
      <c r="C95" s="53" t="str">
        <f t="shared" si="38"/>
        <v/>
      </c>
      <c r="D95" s="5"/>
      <c r="E95" s="26"/>
      <c r="F95" s="26"/>
      <c r="G95" s="5"/>
      <c r="H95" s="5"/>
      <c r="I95" s="4"/>
      <c r="J95" s="51">
        <f t="shared" si="37"/>
        <v>0</v>
      </c>
      <c r="K95" s="4"/>
      <c r="L95" s="4"/>
      <c r="M95" s="4"/>
      <c r="N95" s="4"/>
      <c r="O95" s="4"/>
      <c r="P95" s="4"/>
      <c r="Q95" s="26"/>
      <c r="R95" s="26"/>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row>
    <row r="96" spans="2:42">
      <c r="B96" s="5"/>
      <c r="C96" s="53" t="str">
        <f t="shared" si="38"/>
        <v/>
      </c>
      <c r="D96" s="5"/>
      <c r="E96" s="26"/>
      <c r="F96" s="26"/>
      <c r="G96" s="5"/>
      <c r="H96" s="5"/>
      <c r="I96" s="4"/>
      <c r="J96" s="51">
        <f t="shared" si="37"/>
        <v>0</v>
      </c>
      <c r="K96" s="4"/>
      <c r="L96" s="4"/>
      <c r="M96" s="4"/>
      <c r="N96" s="4"/>
      <c r="O96" s="4"/>
      <c r="P96" s="4"/>
      <c r="Q96" s="26"/>
      <c r="R96" s="26"/>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row>
    <row r="97" spans="2:42">
      <c r="B97" s="5"/>
      <c r="C97" s="53" t="str">
        <f t="shared" si="38"/>
        <v/>
      </c>
      <c r="D97" s="5"/>
      <c r="E97" s="26"/>
      <c r="F97" s="26"/>
      <c r="G97" s="5"/>
      <c r="H97" s="5"/>
      <c r="I97" s="4"/>
      <c r="J97" s="51">
        <f t="shared" si="37"/>
        <v>0</v>
      </c>
      <c r="K97" s="4"/>
      <c r="L97" s="4"/>
      <c r="M97" s="4"/>
      <c r="N97" s="4"/>
      <c r="O97" s="4"/>
      <c r="P97" s="4"/>
      <c r="Q97" s="26"/>
      <c r="R97" s="26"/>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row>
    <row r="98" spans="2:42">
      <c r="B98" s="5"/>
      <c r="C98" s="53" t="str">
        <f t="shared" si="38"/>
        <v/>
      </c>
      <c r="D98" s="5"/>
      <c r="E98" s="26"/>
      <c r="F98" s="26"/>
      <c r="G98" s="5"/>
      <c r="H98" s="5"/>
      <c r="I98" s="4"/>
      <c r="J98" s="51">
        <f t="shared" si="37"/>
        <v>0</v>
      </c>
      <c r="K98" s="4"/>
      <c r="L98" s="4"/>
      <c r="M98" s="4"/>
      <c r="N98" s="4"/>
      <c r="O98" s="4"/>
      <c r="P98" s="4"/>
      <c r="Q98" s="26"/>
      <c r="R98" s="26"/>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row>
    <row r="99" spans="2:42">
      <c r="B99" s="5"/>
      <c r="C99" s="53" t="str">
        <f t="shared" si="38"/>
        <v/>
      </c>
      <c r="D99" s="5"/>
      <c r="E99" s="26"/>
      <c r="F99" s="26"/>
      <c r="G99" s="5"/>
      <c r="H99" s="5"/>
      <c r="I99" s="4"/>
      <c r="J99" s="51">
        <f t="shared" si="37"/>
        <v>0</v>
      </c>
      <c r="K99" s="4"/>
      <c r="L99" s="4"/>
      <c r="M99" s="4"/>
      <c r="N99" s="4"/>
      <c r="O99" s="4"/>
      <c r="P99" s="4"/>
      <c r="Q99" s="26"/>
      <c r="R99" s="26"/>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row>
    <row r="100" spans="2:42">
      <c r="B100" s="5"/>
      <c r="C100" s="53" t="str">
        <f t="shared" si="38"/>
        <v/>
      </c>
      <c r="D100" s="5"/>
      <c r="E100" s="26"/>
      <c r="F100" s="26"/>
      <c r="G100" s="5"/>
      <c r="H100" s="5"/>
      <c r="I100" s="4"/>
      <c r="J100" s="51">
        <f t="shared" si="37"/>
        <v>0</v>
      </c>
      <c r="K100" s="4"/>
      <c r="L100" s="4"/>
      <c r="M100" s="4"/>
      <c r="N100" s="4"/>
      <c r="O100" s="4"/>
      <c r="P100" s="4"/>
      <c r="Q100" s="26"/>
      <c r="R100" s="26"/>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row>
  </sheetData>
  <sheetProtection insertRows="0" autoFilter="0"/>
  <autoFilter ref="B39:AP76"/>
  <dataConsolidate/>
  <mergeCells count="6">
    <mergeCell ref="B26:B32"/>
    <mergeCell ref="C26:C27"/>
    <mergeCell ref="C28:C32"/>
    <mergeCell ref="B33:B36"/>
    <mergeCell ref="C33:C34"/>
    <mergeCell ref="C35:C36"/>
  </mergeCells>
  <phoneticPr fontId="15" type="noConversion"/>
  <conditionalFormatting sqref="O78:P90 B78:N122">
    <cfRule type="expression" dxfId="13" priority="11" stopIfTrue="1">
      <formula>$N78="InProgress"</formula>
    </cfRule>
    <cfRule type="expression" dxfId="12" priority="12" stopIfTrue="1">
      <formula>$N78="Completed"</formula>
    </cfRule>
  </conditionalFormatting>
  <conditionalFormatting sqref="B40:D100 G40:P100">
    <cfRule type="expression" dxfId="11" priority="13" stopIfTrue="1">
      <formula>$P40="InProgress"</formula>
    </cfRule>
    <cfRule type="expression" dxfId="10" priority="14" stopIfTrue="1">
      <formula>$P40="Completed"</formula>
    </cfRule>
  </conditionalFormatting>
  <conditionalFormatting sqref="W10:BA10 L39:AP39">
    <cfRule type="notContainsBlanks" dxfId="9" priority="10">
      <formula>LEN(TRIM(L10))&gt;0</formula>
    </cfRule>
  </conditionalFormatting>
  <conditionalFormatting sqref="W23:BA24">
    <cfRule type="notContainsBlanks" dxfId="8" priority="9">
      <formula>LEN(TRIM(W23))&gt;0</formula>
    </cfRule>
  </conditionalFormatting>
  <conditionalFormatting sqref="L40:AP76">
    <cfRule type="expression" dxfId="7" priority="7">
      <formula>WEEKDAY(L$39)=7</formula>
    </cfRule>
    <cfRule type="expression" dxfId="6" priority="8">
      <formula>WEEKDAY(L$39)=1</formula>
    </cfRule>
  </conditionalFormatting>
  <conditionalFormatting sqref="W11:BA22">
    <cfRule type="expression" dxfId="5" priority="5">
      <formula>WEEKDAY(L$39)=7</formula>
    </cfRule>
    <cfRule type="expression" dxfId="4" priority="6">
      <formula>WEEKDAY(L$39)=1</formula>
    </cfRule>
  </conditionalFormatting>
  <conditionalFormatting sqref="L77:AP100">
    <cfRule type="expression" dxfId="3" priority="3">
      <formula>WEEKDAY(L$39)=7</formula>
    </cfRule>
    <cfRule type="expression" dxfId="2" priority="4">
      <formula>WEEKDAY(L$39)=1</formula>
    </cfRule>
  </conditionalFormatting>
  <conditionalFormatting sqref="W22:BA22">
    <cfRule type="expression" dxfId="1" priority="1">
      <formula>WEEKDAY(L$39)=7</formula>
    </cfRule>
    <cfRule type="expression" dxfId="0" priority="2">
      <formula>WEEKDAY(L$39)=1</formula>
    </cfRule>
  </conditionalFormatting>
  <dataValidations count="9">
    <dataValidation type="list" allowBlank="1" showInputMessage="1" showErrorMessage="1" sqref="WVV983080:WVV983103 WLZ983080:WLZ983103 WCD983080:WCD983103 VSH983080:VSH983103 VIL983080:VIL983103 UYP983080:UYP983103 UOT983080:UOT983103 UEX983080:UEX983103 TVB983080:TVB983103 TLF983080:TLF983103 TBJ983080:TBJ983103 SRN983080:SRN983103 SHR983080:SHR983103 RXV983080:RXV983103 RNZ983080:RNZ983103 RED983080:RED983103 QUH983080:QUH983103 QKL983080:QKL983103 QAP983080:QAP983103 PQT983080:PQT983103 PGX983080:PGX983103 OXB983080:OXB983103 ONF983080:ONF983103 ODJ983080:ODJ983103 NTN983080:NTN983103 NJR983080:NJR983103 MZV983080:MZV983103 MPZ983080:MPZ983103 MGD983080:MGD983103 LWH983080:LWH983103 LML983080:LML983103 LCP983080:LCP983103 KST983080:KST983103 KIX983080:KIX983103 JZB983080:JZB983103 JPF983080:JPF983103 JFJ983080:JFJ983103 IVN983080:IVN983103 ILR983080:ILR983103 IBV983080:IBV983103 HRZ983080:HRZ983103 HID983080:HID983103 GYH983080:GYH983103 GOL983080:GOL983103 GEP983080:GEP983103 FUT983080:FUT983103 FKX983080:FKX983103 FBB983080:FBB983103 ERF983080:ERF983103 EHJ983080:EHJ983103 DXN983080:DXN983103 DNR983080:DNR983103 DDV983080:DDV983103 CTZ983080:CTZ983103 CKD983080:CKD983103 CAH983080:CAH983103 BQL983080:BQL983103 BGP983080:BGP983103 AWT983080:AWT983103 AMX983080:AMX983103 ADB983080:ADB983103 TF983080:TF983103 JJ983080:JJ983103 N983080:N983103 WVV917544:WVV917567 WLZ917544:WLZ917567 WCD917544:WCD917567 VSH917544:VSH917567 VIL917544:VIL917567 UYP917544:UYP917567 UOT917544:UOT917567 UEX917544:UEX917567 TVB917544:TVB917567 TLF917544:TLF917567 TBJ917544:TBJ917567 SRN917544:SRN917567 SHR917544:SHR917567 RXV917544:RXV917567 RNZ917544:RNZ917567 RED917544:RED917567 QUH917544:QUH917567 QKL917544:QKL917567 QAP917544:QAP917567 PQT917544:PQT917567 PGX917544:PGX917567 OXB917544:OXB917567 ONF917544:ONF917567 ODJ917544:ODJ917567 NTN917544:NTN917567 NJR917544:NJR917567 MZV917544:MZV917567 MPZ917544:MPZ917567 MGD917544:MGD917567 LWH917544:LWH917567 LML917544:LML917567 LCP917544:LCP917567 KST917544:KST917567 KIX917544:KIX917567 JZB917544:JZB917567 JPF917544:JPF917567 JFJ917544:JFJ917567 IVN917544:IVN917567 ILR917544:ILR917567 IBV917544:IBV917567 HRZ917544:HRZ917567 HID917544:HID917567 GYH917544:GYH917567 GOL917544:GOL917567 GEP917544:GEP917567 FUT917544:FUT917567 FKX917544:FKX917567 FBB917544:FBB917567 ERF917544:ERF917567 EHJ917544:EHJ917567 DXN917544:DXN917567 DNR917544:DNR917567 DDV917544:DDV917567 CTZ917544:CTZ917567 CKD917544:CKD917567 CAH917544:CAH917567 BQL917544:BQL917567 BGP917544:BGP917567 AWT917544:AWT917567 AMX917544:AMX917567 ADB917544:ADB917567 TF917544:TF917567 JJ917544:JJ917567 N917544:N917567 WVV852008:WVV852031 WLZ852008:WLZ852031 WCD852008:WCD852031 VSH852008:VSH852031 VIL852008:VIL852031 UYP852008:UYP852031 UOT852008:UOT852031 UEX852008:UEX852031 TVB852008:TVB852031 TLF852008:TLF852031 TBJ852008:TBJ852031 SRN852008:SRN852031 SHR852008:SHR852031 RXV852008:RXV852031 RNZ852008:RNZ852031 RED852008:RED852031 QUH852008:QUH852031 QKL852008:QKL852031 QAP852008:QAP852031 PQT852008:PQT852031 PGX852008:PGX852031 OXB852008:OXB852031 ONF852008:ONF852031 ODJ852008:ODJ852031 NTN852008:NTN852031 NJR852008:NJR852031 MZV852008:MZV852031 MPZ852008:MPZ852031 MGD852008:MGD852031 LWH852008:LWH852031 LML852008:LML852031 LCP852008:LCP852031 KST852008:KST852031 KIX852008:KIX852031 JZB852008:JZB852031 JPF852008:JPF852031 JFJ852008:JFJ852031 IVN852008:IVN852031 ILR852008:ILR852031 IBV852008:IBV852031 HRZ852008:HRZ852031 HID852008:HID852031 GYH852008:GYH852031 GOL852008:GOL852031 GEP852008:GEP852031 FUT852008:FUT852031 FKX852008:FKX852031 FBB852008:FBB852031 ERF852008:ERF852031 EHJ852008:EHJ852031 DXN852008:DXN852031 DNR852008:DNR852031 DDV852008:DDV852031 CTZ852008:CTZ852031 CKD852008:CKD852031 CAH852008:CAH852031 BQL852008:BQL852031 BGP852008:BGP852031 AWT852008:AWT852031 AMX852008:AMX852031 ADB852008:ADB852031 TF852008:TF852031 JJ852008:JJ852031 N852008:N852031 WVV786472:WVV786495 WLZ786472:WLZ786495 WCD786472:WCD786495 VSH786472:VSH786495 VIL786472:VIL786495 UYP786472:UYP786495 UOT786472:UOT786495 UEX786472:UEX786495 TVB786472:TVB786495 TLF786472:TLF786495 TBJ786472:TBJ786495 SRN786472:SRN786495 SHR786472:SHR786495 RXV786472:RXV786495 RNZ786472:RNZ786495 RED786472:RED786495 QUH786472:QUH786495 QKL786472:QKL786495 QAP786472:QAP786495 PQT786472:PQT786495 PGX786472:PGX786495 OXB786472:OXB786495 ONF786472:ONF786495 ODJ786472:ODJ786495 NTN786472:NTN786495 NJR786472:NJR786495 MZV786472:MZV786495 MPZ786472:MPZ786495 MGD786472:MGD786495 LWH786472:LWH786495 LML786472:LML786495 LCP786472:LCP786495 KST786472:KST786495 KIX786472:KIX786495 JZB786472:JZB786495 JPF786472:JPF786495 JFJ786472:JFJ786495 IVN786472:IVN786495 ILR786472:ILR786495 IBV786472:IBV786495 HRZ786472:HRZ786495 HID786472:HID786495 GYH786472:GYH786495 GOL786472:GOL786495 GEP786472:GEP786495 FUT786472:FUT786495 FKX786472:FKX786495 FBB786472:FBB786495 ERF786472:ERF786495 EHJ786472:EHJ786495 DXN786472:DXN786495 DNR786472:DNR786495 DDV786472:DDV786495 CTZ786472:CTZ786495 CKD786472:CKD786495 CAH786472:CAH786495 BQL786472:BQL786495 BGP786472:BGP786495 AWT786472:AWT786495 AMX786472:AMX786495 ADB786472:ADB786495 TF786472:TF786495 JJ786472:JJ786495 N786472:N786495 WVV720936:WVV720959 WLZ720936:WLZ720959 WCD720936:WCD720959 VSH720936:VSH720959 VIL720936:VIL720959 UYP720936:UYP720959 UOT720936:UOT720959 UEX720936:UEX720959 TVB720936:TVB720959 TLF720936:TLF720959 TBJ720936:TBJ720959 SRN720936:SRN720959 SHR720936:SHR720959 RXV720936:RXV720959 RNZ720936:RNZ720959 RED720936:RED720959 QUH720936:QUH720959 QKL720936:QKL720959 QAP720936:QAP720959 PQT720936:PQT720959 PGX720936:PGX720959 OXB720936:OXB720959 ONF720936:ONF720959 ODJ720936:ODJ720959 NTN720936:NTN720959 NJR720936:NJR720959 MZV720936:MZV720959 MPZ720936:MPZ720959 MGD720936:MGD720959 LWH720936:LWH720959 LML720936:LML720959 LCP720936:LCP720959 KST720936:KST720959 KIX720936:KIX720959 JZB720936:JZB720959 JPF720936:JPF720959 JFJ720936:JFJ720959 IVN720936:IVN720959 ILR720936:ILR720959 IBV720936:IBV720959 HRZ720936:HRZ720959 HID720936:HID720959 GYH720936:GYH720959 GOL720936:GOL720959 GEP720936:GEP720959 FUT720936:FUT720959 FKX720936:FKX720959 FBB720936:FBB720959 ERF720936:ERF720959 EHJ720936:EHJ720959 DXN720936:DXN720959 DNR720936:DNR720959 DDV720936:DDV720959 CTZ720936:CTZ720959 CKD720936:CKD720959 CAH720936:CAH720959 BQL720936:BQL720959 BGP720936:BGP720959 AWT720936:AWT720959 AMX720936:AMX720959 ADB720936:ADB720959 TF720936:TF720959 JJ720936:JJ720959 N720936:N720959 WVV655400:WVV655423 WLZ655400:WLZ655423 WCD655400:WCD655423 VSH655400:VSH655423 VIL655400:VIL655423 UYP655400:UYP655423 UOT655400:UOT655423 UEX655400:UEX655423 TVB655400:TVB655423 TLF655400:TLF655423 TBJ655400:TBJ655423 SRN655400:SRN655423 SHR655400:SHR655423 RXV655400:RXV655423 RNZ655400:RNZ655423 RED655400:RED655423 QUH655400:QUH655423 QKL655400:QKL655423 QAP655400:QAP655423 PQT655400:PQT655423 PGX655400:PGX655423 OXB655400:OXB655423 ONF655400:ONF655423 ODJ655400:ODJ655423 NTN655400:NTN655423 NJR655400:NJR655423 MZV655400:MZV655423 MPZ655400:MPZ655423 MGD655400:MGD655423 LWH655400:LWH655423 LML655400:LML655423 LCP655400:LCP655423 KST655400:KST655423 KIX655400:KIX655423 JZB655400:JZB655423 JPF655400:JPF655423 JFJ655400:JFJ655423 IVN655400:IVN655423 ILR655400:ILR655423 IBV655400:IBV655423 HRZ655400:HRZ655423 HID655400:HID655423 GYH655400:GYH655423 GOL655400:GOL655423 GEP655400:GEP655423 FUT655400:FUT655423 FKX655400:FKX655423 FBB655400:FBB655423 ERF655400:ERF655423 EHJ655400:EHJ655423 DXN655400:DXN655423 DNR655400:DNR655423 DDV655400:DDV655423 CTZ655400:CTZ655423 CKD655400:CKD655423 CAH655400:CAH655423 BQL655400:BQL655423 BGP655400:BGP655423 AWT655400:AWT655423 AMX655400:AMX655423 ADB655400:ADB655423 TF655400:TF655423 JJ655400:JJ655423 N655400:N655423 WVV589864:WVV589887 WLZ589864:WLZ589887 WCD589864:WCD589887 VSH589864:VSH589887 VIL589864:VIL589887 UYP589864:UYP589887 UOT589864:UOT589887 UEX589864:UEX589887 TVB589864:TVB589887 TLF589864:TLF589887 TBJ589864:TBJ589887 SRN589864:SRN589887 SHR589864:SHR589887 RXV589864:RXV589887 RNZ589864:RNZ589887 RED589864:RED589887 QUH589864:QUH589887 QKL589864:QKL589887 QAP589864:QAP589887 PQT589864:PQT589887 PGX589864:PGX589887 OXB589864:OXB589887 ONF589864:ONF589887 ODJ589864:ODJ589887 NTN589864:NTN589887 NJR589864:NJR589887 MZV589864:MZV589887 MPZ589864:MPZ589887 MGD589864:MGD589887 LWH589864:LWH589887 LML589864:LML589887 LCP589864:LCP589887 KST589864:KST589887 KIX589864:KIX589887 JZB589864:JZB589887 JPF589864:JPF589887 JFJ589864:JFJ589887 IVN589864:IVN589887 ILR589864:ILR589887 IBV589864:IBV589887 HRZ589864:HRZ589887 HID589864:HID589887 GYH589864:GYH589887 GOL589864:GOL589887 GEP589864:GEP589887 FUT589864:FUT589887 FKX589864:FKX589887 FBB589864:FBB589887 ERF589864:ERF589887 EHJ589864:EHJ589887 DXN589864:DXN589887 DNR589864:DNR589887 DDV589864:DDV589887 CTZ589864:CTZ589887 CKD589864:CKD589887 CAH589864:CAH589887 BQL589864:BQL589887 BGP589864:BGP589887 AWT589864:AWT589887 AMX589864:AMX589887 ADB589864:ADB589887 TF589864:TF589887 JJ589864:JJ589887 N589864:N589887 WVV524328:WVV524351 WLZ524328:WLZ524351 WCD524328:WCD524351 VSH524328:VSH524351 VIL524328:VIL524351 UYP524328:UYP524351 UOT524328:UOT524351 UEX524328:UEX524351 TVB524328:TVB524351 TLF524328:TLF524351 TBJ524328:TBJ524351 SRN524328:SRN524351 SHR524328:SHR524351 RXV524328:RXV524351 RNZ524328:RNZ524351 RED524328:RED524351 QUH524328:QUH524351 QKL524328:QKL524351 QAP524328:QAP524351 PQT524328:PQT524351 PGX524328:PGX524351 OXB524328:OXB524351 ONF524328:ONF524351 ODJ524328:ODJ524351 NTN524328:NTN524351 NJR524328:NJR524351 MZV524328:MZV524351 MPZ524328:MPZ524351 MGD524328:MGD524351 LWH524328:LWH524351 LML524328:LML524351 LCP524328:LCP524351 KST524328:KST524351 KIX524328:KIX524351 JZB524328:JZB524351 JPF524328:JPF524351 JFJ524328:JFJ524351 IVN524328:IVN524351 ILR524328:ILR524351 IBV524328:IBV524351 HRZ524328:HRZ524351 HID524328:HID524351 GYH524328:GYH524351 GOL524328:GOL524351 GEP524328:GEP524351 FUT524328:FUT524351 FKX524328:FKX524351 FBB524328:FBB524351 ERF524328:ERF524351 EHJ524328:EHJ524351 DXN524328:DXN524351 DNR524328:DNR524351 DDV524328:DDV524351 CTZ524328:CTZ524351 CKD524328:CKD524351 CAH524328:CAH524351 BQL524328:BQL524351 BGP524328:BGP524351 AWT524328:AWT524351 AMX524328:AMX524351 ADB524328:ADB524351 TF524328:TF524351 JJ524328:JJ524351 N524328:N524351 WVV458792:WVV458815 WLZ458792:WLZ458815 WCD458792:WCD458815 VSH458792:VSH458815 VIL458792:VIL458815 UYP458792:UYP458815 UOT458792:UOT458815 UEX458792:UEX458815 TVB458792:TVB458815 TLF458792:TLF458815 TBJ458792:TBJ458815 SRN458792:SRN458815 SHR458792:SHR458815 RXV458792:RXV458815 RNZ458792:RNZ458815 RED458792:RED458815 QUH458792:QUH458815 QKL458792:QKL458815 QAP458792:QAP458815 PQT458792:PQT458815 PGX458792:PGX458815 OXB458792:OXB458815 ONF458792:ONF458815 ODJ458792:ODJ458815 NTN458792:NTN458815 NJR458792:NJR458815 MZV458792:MZV458815 MPZ458792:MPZ458815 MGD458792:MGD458815 LWH458792:LWH458815 LML458792:LML458815 LCP458792:LCP458815 KST458792:KST458815 KIX458792:KIX458815 JZB458792:JZB458815 JPF458792:JPF458815 JFJ458792:JFJ458815 IVN458792:IVN458815 ILR458792:ILR458815 IBV458792:IBV458815 HRZ458792:HRZ458815 HID458792:HID458815 GYH458792:GYH458815 GOL458792:GOL458815 GEP458792:GEP458815 FUT458792:FUT458815 FKX458792:FKX458815 FBB458792:FBB458815 ERF458792:ERF458815 EHJ458792:EHJ458815 DXN458792:DXN458815 DNR458792:DNR458815 DDV458792:DDV458815 CTZ458792:CTZ458815 CKD458792:CKD458815 CAH458792:CAH458815 BQL458792:BQL458815 BGP458792:BGP458815 AWT458792:AWT458815 AMX458792:AMX458815 ADB458792:ADB458815 TF458792:TF458815 JJ458792:JJ458815 N458792:N458815 WVV393256:WVV393279 WLZ393256:WLZ393279 WCD393256:WCD393279 VSH393256:VSH393279 VIL393256:VIL393279 UYP393256:UYP393279 UOT393256:UOT393279 UEX393256:UEX393279 TVB393256:TVB393279 TLF393256:TLF393279 TBJ393256:TBJ393279 SRN393256:SRN393279 SHR393256:SHR393279 RXV393256:RXV393279 RNZ393256:RNZ393279 RED393256:RED393279 QUH393256:QUH393279 QKL393256:QKL393279 QAP393256:QAP393279 PQT393256:PQT393279 PGX393256:PGX393279 OXB393256:OXB393279 ONF393256:ONF393279 ODJ393256:ODJ393279 NTN393256:NTN393279 NJR393256:NJR393279 MZV393256:MZV393279 MPZ393256:MPZ393279 MGD393256:MGD393279 LWH393256:LWH393279 LML393256:LML393279 LCP393256:LCP393279 KST393256:KST393279 KIX393256:KIX393279 JZB393256:JZB393279 JPF393256:JPF393279 JFJ393256:JFJ393279 IVN393256:IVN393279 ILR393256:ILR393279 IBV393256:IBV393279 HRZ393256:HRZ393279 HID393256:HID393279 GYH393256:GYH393279 GOL393256:GOL393279 GEP393256:GEP393279 FUT393256:FUT393279 FKX393256:FKX393279 FBB393256:FBB393279 ERF393256:ERF393279 EHJ393256:EHJ393279 DXN393256:DXN393279 DNR393256:DNR393279 DDV393256:DDV393279 CTZ393256:CTZ393279 CKD393256:CKD393279 CAH393256:CAH393279 BQL393256:BQL393279 BGP393256:BGP393279 AWT393256:AWT393279 AMX393256:AMX393279 ADB393256:ADB393279 TF393256:TF393279 JJ393256:JJ393279 N393256:N393279 WVV327720:WVV327743 WLZ327720:WLZ327743 WCD327720:WCD327743 VSH327720:VSH327743 VIL327720:VIL327743 UYP327720:UYP327743 UOT327720:UOT327743 UEX327720:UEX327743 TVB327720:TVB327743 TLF327720:TLF327743 TBJ327720:TBJ327743 SRN327720:SRN327743 SHR327720:SHR327743 RXV327720:RXV327743 RNZ327720:RNZ327743 RED327720:RED327743 QUH327720:QUH327743 QKL327720:QKL327743 QAP327720:QAP327743 PQT327720:PQT327743 PGX327720:PGX327743 OXB327720:OXB327743 ONF327720:ONF327743 ODJ327720:ODJ327743 NTN327720:NTN327743 NJR327720:NJR327743 MZV327720:MZV327743 MPZ327720:MPZ327743 MGD327720:MGD327743 LWH327720:LWH327743 LML327720:LML327743 LCP327720:LCP327743 KST327720:KST327743 KIX327720:KIX327743 JZB327720:JZB327743 JPF327720:JPF327743 JFJ327720:JFJ327743 IVN327720:IVN327743 ILR327720:ILR327743 IBV327720:IBV327743 HRZ327720:HRZ327743 HID327720:HID327743 GYH327720:GYH327743 GOL327720:GOL327743 GEP327720:GEP327743 FUT327720:FUT327743 FKX327720:FKX327743 FBB327720:FBB327743 ERF327720:ERF327743 EHJ327720:EHJ327743 DXN327720:DXN327743 DNR327720:DNR327743 DDV327720:DDV327743 CTZ327720:CTZ327743 CKD327720:CKD327743 CAH327720:CAH327743 BQL327720:BQL327743 BGP327720:BGP327743 AWT327720:AWT327743 AMX327720:AMX327743 ADB327720:ADB327743 TF327720:TF327743 JJ327720:JJ327743 N327720:N327743 WVV262184:WVV262207 WLZ262184:WLZ262207 WCD262184:WCD262207 VSH262184:VSH262207 VIL262184:VIL262207 UYP262184:UYP262207 UOT262184:UOT262207 UEX262184:UEX262207 TVB262184:TVB262207 TLF262184:TLF262207 TBJ262184:TBJ262207 SRN262184:SRN262207 SHR262184:SHR262207 RXV262184:RXV262207 RNZ262184:RNZ262207 RED262184:RED262207 QUH262184:QUH262207 QKL262184:QKL262207 QAP262184:QAP262207 PQT262184:PQT262207 PGX262184:PGX262207 OXB262184:OXB262207 ONF262184:ONF262207 ODJ262184:ODJ262207 NTN262184:NTN262207 NJR262184:NJR262207 MZV262184:MZV262207 MPZ262184:MPZ262207 MGD262184:MGD262207 LWH262184:LWH262207 LML262184:LML262207 LCP262184:LCP262207 KST262184:KST262207 KIX262184:KIX262207 JZB262184:JZB262207 JPF262184:JPF262207 JFJ262184:JFJ262207 IVN262184:IVN262207 ILR262184:ILR262207 IBV262184:IBV262207 HRZ262184:HRZ262207 HID262184:HID262207 GYH262184:GYH262207 GOL262184:GOL262207 GEP262184:GEP262207 FUT262184:FUT262207 FKX262184:FKX262207 FBB262184:FBB262207 ERF262184:ERF262207 EHJ262184:EHJ262207 DXN262184:DXN262207 DNR262184:DNR262207 DDV262184:DDV262207 CTZ262184:CTZ262207 CKD262184:CKD262207 CAH262184:CAH262207 BQL262184:BQL262207 BGP262184:BGP262207 AWT262184:AWT262207 AMX262184:AMX262207 ADB262184:ADB262207 TF262184:TF262207 JJ262184:JJ262207 N262184:N262207 WVV196648:WVV196671 WLZ196648:WLZ196671 WCD196648:WCD196671 VSH196648:VSH196671 VIL196648:VIL196671 UYP196648:UYP196671 UOT196648:UOT196671 UEX196648:UEX196671 TVB196648:TVB196671 TLF196648:TLF196671 TBJ196648:TBJ196671 SRN196648:SRN196671 SHR196648:SHR196671 RXV196648:RXV196671 RNZ196648:RNZ196671 RED196648:RED196671 QUH196648:QUH196671 QKL196648:QKL196671 QAP196648:QAP196671 PQT196648:PQT196671 PGX196648:PGX196671 OXB196648:OXB196671 ONF196648:ONF196671 ODJ196648:ODJ196671 NTN196648:NTN196671 NJR196648:NJR196671 MZV196648:MZV196671 MPZ196648:MPZ196671 MGD196648:MGD196671 LWH196648:LWH196671 LML196648:LML196671 LCP196648:LCP196671 KST196648:KST196671 KIX196648:KIX196671 JZB196648:JZB196671 JPF196648:JPF196671 JFJ196648:JFJ196671 IVN196648:IVN196671 ILR196648:ILR196671 IBV196648:IBV196671 HRZ196648:HRZ196671 HID196648:HID196671 GYH196648:GYH196671 GOL196648:GOL196671 GEP196648:GEP196671 FUT196648:FUT196671 FKX196648:FKX196671 FBB196648:FBB196671 ERF196648:ERF196671 EHJ196648:EHJ196671 DXN196648:DXN196671 DNR196648:DNR196671 DDV196648:DDV196671 CTZ196648:CTZ196671 CKD196648:CKD196671 CAH196648:CAH196671 BQL196648:BQL196671 BGP196648:BGP196671 AWT196648:AWT196671 AMX196648:AMX196671 ADB196648:ADB196671 TF196648:TF196671 JJ196648:JJ196671 N196648:N196671 WVV131112:WVV131135 WLZ131112:WLZ131135 WCD131112:WCD131135 VSH131112:VSH131135 VIL131112:VIL131135 UYP131112:UYP131135 UOT131112:UOT131135 UEX131112:UEX131135 TVB131112:TVB131135 TLF131112:TLF131135 TBJ131112:TBJ131135 SRN131112:SRN131135 SHR131112:SHR131135 RXV131112:RXV131135 RNZ131112:RNZ131135 RED131112:RED131135 QUH131112:QUH131135 QKL131112:QKL131135 QAP131112:QAP131135 PQT131112:PQT131135 PGX131112:PGX131135 OXB131112:OXB131135 ONF131112:ONF131135 ODJ131112:ODJ131135 NTN131112:NTN131135 NJR131112:NJR131135 MZV131112:MZV131135 MPZ131112:MPZ131135 MGD131112:MGD131135 LWH131112:LWH131135 LML131112:LML131135 LCP131112:LCP131135 KST131112:KST131135 KIX131112:KIX131135 JZB131112:JZB131135 JPF131112:JPF131135 JFJ131112:JFJ131135 IVN131112:IVN131135 ILR131112:ILR131135 IBV131112:IBV131135 HRZ131112:HRZ131135 HID131112:HID131135 GYH131112:GYH131135 GOL131112:GOL131135 GEP131112:GEP131135 FUT131112:FUT131135 FKX131112:FKX131135 FBB131112:FBB131135 ERF131112:ERF131135 EHJ131112:EHJ131135 DXN131112:DXN131135 DNR131112:DNR131135 DDV131112:DDV131135 CTZ131112:CTZ131135 CKD131112:CKD131135 CAH131112:CAH131135 BQL131112:BQL131135 BGP131112:BGP131135 AWT131112:AWT131135 AMX131112:AMX131135 ADB131112:ADB131135 TF131112:TF131135 JJ131112:JJ131135 N131112:N131135 WVV65576:WVV65599 WLZ65576:WLZ65599 WCD65576:WCD65599 VSH65576:VSH65599 VIL65576:VIL65599 UYP65576:UYP65599 UOT65576:UOT65599 UEX65576:UEX65599 TVB65576:TVB65599 TLF65576:TLF65599 TBJ65576:TBJ65599 SRN65576:SRN65599 SHR65576:SHR65599 RXV65576:RXV65599 RNZ65576:RNZ65599 RED65576:RED65599 QUH65576:QUH65599 QKL65576:QKL65599 QAP65576:QAP65599 PQT65576:PQT65599 PGX65576:PGX65599 OXB65576:OXB65599 ONF65576:ONF65599 ODJ65576:ODJ65599 NTN65576:NTN65599 NJR65576:NJR65599 MZV65576:MZV65599 MPZ65576:MPZ65599 MGD65576:MGD65599 LWH65576:LWH65599 LML65576:LML65599 LCP65576:LCP65599 KST65576:KST65599 KIX65576:KIX65599 JZB65576:JZB65599 JPF65576:JPF65599 JFJ65576:JFJ65599 IVN65576:IVN65599 ILR65576:ILR65599 IBV65576:IBV65599 HRZ65576:HRZ65599 HID65576:HID65599 GYH65576:GYH65599 GOL65576:GOL65599 GEP65576:GEP65599 FUT65576:FUT65599 FKX65576:FKX65599 FBB65576:FBB65599 ERF65576:ERF65599 EHJ65576:EHJ65599 DXN65576:DXN65599 DNR65576:DNR65599 DDV65576:DDV65599 CTZ65576:CTZ65599 CKD65576:CKD65599 CAH65576:CAH65599 BQL65576:BQL65599 BGP65576:BGP65599 AWT65576:AWT65599 AMX65576:AMX65599 ADB65576:ADB65599 TF65576:TF65599 JJ65576:JJ65599 N65576:N65599 WVV40:WVV63 WLZ40:WLZ63 WCD40:WCD63 VSH40:VSH63 VIL40:VIL63 UYP40:UYP63 UOT40:UOT63 UEX40:UEX63 TVB40:TVB63 TLF40:TLF63 TBJ40:TBJ63 SRN40:SRN63 SHR40:SHR63 RXV40:RXV63 RNZ40:RNZ63 RED40:RED63 QUH40:QUH63 QKL40:QKL63 QAP40:QAP63 PQT40:PQT63 PGX40:PGX63 OXB40:OXB63 ONF40:ONF63 ODJ40:ODJ63 NTN40:NTN63 NJR40:NJR63 MZV40:MZV63 MPZ40:MPZ63 MGD40:MGD63 LWH40:LWH63 LML40:LML63 LCP40:LCP63 KST40:KST63 KIX40:KIX63 JZB40:JZB63 JPF40:JPF63 JFJ40:JFJ63 IVN40:IVN63 ILR40:ILR63 IBV40:IBV63 HRZ40:HRZ63 HID40:HID63 GYH40:GYH63 GOL40:GOL63 GEP40:GEP63 FUT40:FUT63 FKX40:FKX63 FBB40:FBB63 ERF40:ERF63 EHJ40:EHJ63 DXN40:DXN63 DNR40:DNR63 DDV40:DDV63 CTZ40:CTZ63 CKD40:CKD63 CAH40:CAH63 BQL40:BQL63 BGP40:BGP63 AWT40:AWT63 AMX40:AMX63 ADB40:ADB63 TF40:TF63 JJ40:JJ63">
      <formula1>Status1</formula1>
    </dataValidation>
    <dataValidation type="list" allowBlank="1" showInputMessage="1" showErrorMessage="1" sqref="WBU983101:WBU983102 VRY983101:VRY983102 VIC983101:VIC983102 UYG983101:UYG983102 UOK983101:UOK983102 UEO983101:UEO983102 TUS983101:TUS983102 TKW983101:TKW983102 TBA983101:TBA983102 SRE983101:SRE983102 SHI983101:SHI983102 RXM983101:RXM983102 RNQ983101:RNQ983102 RDU983101:RDU983102 QTY983101:QTY983102 QKC983101:QKC983102 QAG983101:QAG983102 PQK983101:PQK983102 PGO983101:PGO983102 OWS983101:OWS983102 OMW983101:OMW983102 ODA983101:ODA983102 NTE983101:NTE983102 NJI983101:NJI983102 MZM983101:MZM983102 MPQ983101:MPQ983102 MFU983101:MFU983102 LVY983101:LVY983102 LMC983101:LMC983102 LCG983101:LCG983102 KSK983101:KSK983102 KIO983101:KIO983102 JYS983101:JYS983102 JOW983101:JOW983102 JFA983101:JFA983102 IVE983101:IVE983102 ILI983101:ILI983102 IBM983101:IBM983102 HRQ983101:HRQ983102 HHU983101:HHU983102 GXY983101:GXY983102 GOC983101:GOC983102 GEG983101:GEG983102 FUK983101:FUK983102 FKO983101:FKO983102 FAS983101:FAS983102 EQW983101:EQW983102 EHA983101:EHA983102 DXE983101:DXE983102 DNI983101:DNI983102 DDM983101:DDM983102 CTQ983101:CTQ983102 CJU983101:CJU983102 BZY983101:BZY983102 BQC983101:BQC983102 BGG983101:BGG983102 AWK983101:AWK983102 AMO983101:AMO983102 ACS983101:ACS983102 SW983101:SW983102 JA983101:JA983102 E983101:E983102 WVM917565:WVM917566 WLQ917565:WLQ917566 WBU917565:WBU917566 VRY917565:VRY917566 VIC917565:VIC917566 UYG917565:UYG917566 UOK917565:UOK917566 UEO917565:UEO917566 TUS917565:TUS917566 TKW917565:TKW917566 TBA917565:TBA917566 SRE917565:SRE917566 SHI917565:SHI917566 RXM917565:RXM917566 RNQ917565:RNQ917566 RDU917565:RDU917566 QTY917565:QTY917566 QKC917565:QKC917566 QAG917565:QAG917566 PQK917565:PQK917566 PGO917565:PGO917566 OWS917565:OWS917566 OMW917565:OMW917566 ODA917565:ODA917566 NTE917565:NTE917566 NJI917565:NJI917566 MZM917565:MZM917566 MPQ917565:MPQ917566 MFU917565:MFU917566 LVY917565:LVY917566 LMC917565:LMC917566 LCG917565:LCG917566 KSK917565:KSK917566 KIO917565:KIO917566 JYS917565:JYS917566 JOW917565:JOW917566 JFA917565:JFA917566 IVE917565:IVE917566 ILI917565:ILI917566 IBM917565:IBM917566 HRQ917565:HRQ917566 HHU917565:HHU917566 GXY917565:GXY917566 GOC917565:GOC917566 GEG917565:GEG917566 FUK917565:FUK917566 FKO917565:FKO917566 FAS917565:FAS917566 EQW917565:EQW917566 EHA917565:EHA917566 DXE917565:DXE917566 DNI917565:DNI917566 DDM917565:DDM917566 CTQ917565:CTQ917566 CJU917565:CJU917566 BZY917565:BZY917566 BQC917565:BQC917566 BGG917565:BGG917566 AWK917565:AWK917566 AMO917565:AMO917566 ACS917565:ACS917566 SW917565:SW917566 JA917565:JA917566 E917565:E917566 WVM852029:WVM852030 WLQ852029:WLQ852030 WBU852029:WBU852030 VRY852029:VRY852030 VIC852029:VIC852030 UYG852029:UYG852030 UOK852029:UOK852030 UEO852029:UEO852030 TUS852029:TUS852030 TKW852029:TKW852030 TBA852029:TBA852030 SRE852029:SRE852030 SHI852029:SHI852030 RXM852029:RXM852030 RNQ852029:RNQ852030 RDU852029:RDU852030 QTY852029:QTY852030 QKC852029:QKC852030 QAG852029:QAG852030 PQK852029:PQK852030 PGO852029:PGO852030 OWS852029:OWS852030 OMW852029:OMW852030 ODA852029:ODA852030 NTE852029:NTE852030 NJI852029:NJI852030 MZM852029:MZM852030 MPQ852029:MPQ852030 MFU852029:MFU852030 LVY852029:LVY852030 LMC852029:LMC852030 LCG852029:LCG852030 KSK852029:KSK852030 KIO852029:KIO852030 JYS852029:JYS852030 JOW852029:JOW852030 JFA852029:JFA852030 IVE852029:IVE852030 ILI852029:ILI852030 IBM852029:IBM852030 HRQ852029:HRQ852030 HHU852029:HHU852030 GXY852029:GXY852030 GOC852029:GOC852030 GEG852029:GEG852030 FUK852029:FUK852030 FKO852029:FKO852030 FAS852029:FAS852030 EQW852029:EQW852030 EHA852029:EHA852030 DXE852029:DXE852030 DNI852029:DNI852030 DDM852029:DDM852030 CTQ852029:CTQ852030 CJU852029:CJU852030 BZY852029:BZY852030 BQC852029:BQC852030 BGG852029:BGG852030 AWK852029:AWK852030 AMO852029:AMO852030 ACS852029:ACS852030 SW852029:SW852030 JA852029:JA852030 E852029:E852030 WVM786493:WVM786494 WLQ786493:WLQ786494 WBU786493:WBU786494 VRY786493:VRY786494 VIC786493:VIC786494 UYG786493:UYG786494 UOK786493:UOK786494 UEO786493:UEO786494 TUS786493:TUS786494 TKW786493:TKW786494 TBA786493:TBA786494 SRE786493:SRE786494 SHI786493:SHI786494 RXM786493:RXM786494 RNQ786493:RNQ786494 RDU786493:RDU786494 QTY786493:QTY786494 QKC786493:QKC786494 QAG786493:QAG786494 PQK786493:PQK786494 PGO786493:PGO786494 OWS786493:OWS786494 OMW786493:OMW786494 ODA786493:ODA786494 NTE786493:NTE786494 NJI786493:NJI786494 MZM786493:MZM786494 MPQ786493:MPQ786494 MFU786493:MFU786494 LVY786493:LVY786494 LMC786493:LMC786494 LCG786493:LCG786494 KSK786493:KSK786494 KIO786493:KIO786494 JYS786493:JYS786494 JOW786493:JOW786494 JFA786493:JFA786494 IVE786493:IVE786494 ILI786493:ILI786494 IBM786493:IBM786494 HRQ786493:HRQ786494 HHU786493:HHU786494 GXY786493:GXY786494 GOC786493:GOC786494 GEG786493:GEG786494 FUK786493:FUK786494 FKO786493:FKO786494 FAS786493:FAS786494 EQW786493:EQW786494 EHA786493:EHA786494 DXE786493:DXE786494 DNI786493:DNI786494 DDM786493:DDM786494 CTQ786493:CTQ786494 CJU786493:CJU786494 BZY786493:BZY786494 BQC786493:BQC786494 BGG786493:BGG786494 AWK786493:AWK786494 AMO786493:AMO786494 ACS786493:ACS786494 SW786493:SW786494 JA786493:JA786494 E786493:E786494 WVM720957:WVM720958 WLQ720957:WLQ720958 WBU720957:WBU720958 VRY720957:VRY720958 VIC720957:VIC720958 UYG720957:UYG720958 UOK720957:UOK720958 UEO720957:UEO720958 TUS720957:TUS720958 TKW720957:TKW720958 TBA720957:TBA720958 SRE720957:SRE720958 SHI720957:SHI720958 RXM720957:RXM720958 RNQ720957:RNQ720958 RDU720957:RDU720958 QTY720957:QTY720958 QKC720957:QKC720958 QAG720957:QAG720958 PQK720957:PQK720958 PGO720957:PGO720958 OWS720957:OWS720958 OMW720957:OMW720958 ODA720957:ODA720958 NTE720957:NTE720958 NJI720957:NJI720958 MZM720957:MZM720958 MPQ720957:MPQ720958 MFU720957:MFU720958 LVY720957:LVY720958 LMC720957:LMC720958 LCG720957:LCG720958 KSK720957:KSK720958 KIO720957:KIO720958 JYS720957:JYS720958 JOW720957:JOW720958 JFA720957:JFA720958 IVE720957:IVE720958 ILI720957:ILI720958 IBM720957:IBM720958 HRQ720957:HRQ720958 HHU720957:HHU720958 GXY720957:GXY720958 GOC720957:GOC720958 GEG720957:GEG720958 FUK720957:FUK720958 FKO720957:FKO720958 FAS720957:FAS720958 EQW720957:EQW720958 EHA720957:EHA720958 DXE720957:DXE720958 DNI720957:DNI720958 DDM720957:DDM720958 CTQ720957:CTQ720958 CJU720957:CJU720958 BZY720957:BZY720958 BQC720957:BQC720958 BGG720957:BGG720958 AWK720957:AWK720958 AMO720957:AMO720958 ACS720957:ACS720958 SW720957:SW720958 JA720957:JA720958 E720957:E720958 WVM655421:WVM655422 WLQ655421:WLQ655422 WBU655421:WBU655422 VRY655421:VRY655422 VIC655421:VIC655422 UYG655421:UYG655422 UOK655421:UOK655422 UEO655421:UEO655422 TUS655421:TUS655422 TKW655421:TKW655422 TBA655421:TBA655422 SRE655421:SRE655422 SHI655421:SHI655422 RXM655421:RXM655422 RNQ655421:RNQ655422 RDU655421:RDU655422 QTY655421:QTY655422 QKC655421:QKC655422 QAG655421:QAG655422 PQK655421:PQK655422 PGO655421:PGO655422 OWS655421:OWS655422 OMW655421:OMW655422 ODA655421:ODA655422 NTE655421:NTE655422 NJI655421:NJI655422 MZM655421:MZM655422 MPQ655421:MPQ655422 MFU655421:MFU655422 LVY655421:LVY655422 LMC655421:LMC655422 LCG655421:LCG655422 KSK655421:KSK655422 KIO655421:KIO655422 JYS655421:JYS655422 JOW655421:JOW655422 JFA655421:JFA655422 IVE655421:IVE655422 ILI655421:ILI655422 IBM655421:IBM655422 HRQ655421:HRQ655422 HHU655421:HHU655422 GXY655421:GXY655422 GOC655421:GOC655422 GEG655421:GEG655422 FUK655421:FUK655422 FKO655421:FKO655422 FAS655421:FAS655422 EQW655421:EQW655422 EHA655421:EHA655422 DXE655421:DXE655422 DNI655421:DNI655422 DDM655421:DDM655422 CTQ655421:CTQ655422 CJU655421:CJU655422 BZY655421:BZY655422 BQC655421:BQC655422 BGG655421:BGG655422 AWK655421:AWK655422 AMO655421:AMO655422 ACS655421:ACS655422 SW655421:SW655422 JA655421:JA655422 E655421:E655422 WVM589885:WVM589886 WLQ589885:WLQ589886 WBU589885:WBU589886 VRY589885:VRY589886 VIC589885:VIC589886 UYG589885:UYG589886 UOK589885:UOK589886 UEO589885:UEO589886 TUS589885:TUS589886 TKW589885:TKW589886 TBA589885:TBA589886 SRE589885:SRE589886 SHI589885:SHI589886 RXM589885:RXM589886 RNQ589885:RNQ589886 RDU589885:RDU589886 QTY589885:QTY589886 QKC589885:QKC589886 QAG589885:QAG589886 PQK589885:PQK589886 PGO589885:PGO589886 OWS589885:OWS589886 OMW589885:OMW589886 ODA589885:ODA589886 NTE589885:NTE589886 NJI589885:NJI589886 MZM589885:MZM589886 MPQ589885:MPQ589886 MFU589885:MFU589886 LVY589885:LVY589886 LMC589885:LMC589886 LCG589885:LCG589886 KSK589885:KSK589886 KIO589885:KIO589886 JYS589885:JYS589886 JOW589885:JOW589886 JFA589885:JFA589886 IVE589885:IVE589886 ILI589885:ILI589886 IBM589885:IBM589886 HRQ589885:HRQ589886 HHU589885:HHU589886 GXY589885:GXY589886 GOC589885:GOC589886 GEG589885:GEG589886 FUK589885:FUK589886 FKO589885:FKO589886 FAS589885:FAS589886 EQW589885:EQW589886 EHA589885:EHA589886 DXE589885:DXE589886 DNI589885:DNI589886 DDM589885:DDM589886 CTQ589885:CTQ589886 CJU589885:CJU589886 BZY589885:BZY589886 BQC589885:BQC589886 BGG589885:BGG589886 AWK589885:AWK589886 AMO589885:AMO589886 ACS589885:ACS589886 SW589885:SW589886 JA589885:JA589886 E589885:E589886 WVM524349:WVM524350 WLQ524349:WLQ524350 WBU524349:WBU524350 VRY524349:VRY524350 VIC524349:VIC524350 UYG524349:UYG524350 UOK524349:UOK524350 UEO524349:UEO524350 TUS524349:TUS524350 TKW524349:TKW524350 TBA524349:TBA524350 SRE524349:SRE524350 SHI524349:SHI524350 RXM524349:RXM524350 RNQ524349:RNQ524350 RDU524349:RDU524350 QTY524349:QTY524350 QKC524349:QKC524350 QAG524349:QAG524350 PQK524349:PQK524350 PGO524349:PGO524350 OWS524349:OWS524350 OMW524349:OMW524350 ODA524349:ODA524350 NTE524349:NTE524350 NJI524349:NJI524350 MZM524349:MZM524350 MPQ524349:MPQ524350 MFU524349:MFU524350 LVY524349:LVY524350 LMC524349:LMC524350 LCG524349:LCG524350 KSK524349:KSK524350 KIO524349:KIO524350 JYS524349:JYS524350 JOW524349:JOW524350 JFA524349:JFA524350 IVE524349:IVE524350 ILI524349:ILI524350 IBM524349:IBM524350 HRQ524349:HRQ524350 HHU524349:HHU524350 GXY524349:GXY524350 GOC524349:GOC524350 GEG524349:GEG524350 FUK524349:FUK524350 FKO524349:FKO524350 FAS524349:FAS524350 EQW524349:EQW524350 EHA524349:EHA524350 DXE524349:DXE524350 DNI524349:DNI524350 DDM524349:DDM524350 CTQ524349:CTQ524350 CJU524349:CJU524350 BZY524349:BZY524350 BQC524349:BQC524350 BGG524349:BGG524350 AWK524349:AWK524350 AMO524349:AMO524350 ACS524349:ACS524350 SW524349:SW524350 JA524349:JA524350 E524349:E524350 WVM458813:WVM458814 WLQ458813:WLQ458814 WBU458813:WBU458814 VRY458813:VRY458814 VIC458813:VIC458814 UYG458813:UYG458814 UOK458813:UOK458814 UEO458813:UEO458814 TUS458813:TUS458814 TKW458813:TKW458814 TBA458813:TBA458814 SRE458813:SRE458814 SHI458813:SHI458814 RXM458813:RXM458814 RNQ458813:RNQ458814 RDU458813:RDU458814 QTY458813:QTY458814 QKC458813:QKC458814 QAG458813:QAG458814 PQK458813:PQK458814 PGO458813:PGO458814 OWS458813:OWS458814 OMW458813:OMW458814 ODA458813:ODA458814 NTE458813:NTE458814 NJI458813:NJI458814 MZM458813:MZM458814 MPQ458813:MPQ458814 MFU458813:MFU458814 LVY458813:LVY458814 LMC458813:LMC458814 LCG458813:LCG458814 KSK458813:KSK458814 KIO458813:KIO458814 JYS458813:JYS458814 JOW458813:JOW458814 JFA458813:JFA458814 IVE458813:IVE458814 ILI458813:ILI458814 IBM458813:IBM458814 HRQ458813:HRQ458814 HHU458813:HHU458814 GXY458813:GXY458814 GOC458813:GOC458814 GEG458813:GEG458814 FUK458813:FUK458814 FKO458813:FKO458814 FAS458813:FAS458814 EQW458813:EQW458814 EHA458813:EHA458814 DXE458813:DXE458814 DNI458813:DNI458814 DDM458813:DDM458814 CTQ458813:CTQ458814 CJU458813:CJU458814 BZY458813:BZY458814 BQC458813:BQC458814 BGG458813:BGG458814 AWK458813:AWK458814 AMO458813:AMO458814 ACS458813:ACS458814 SW458813:SW458814 JA458813:JA458814 E458813:E458814 WVM393277:WVM393278 WLQ393277:WLQ393278 WBU393277:WBU393278 VRY393277:VRY393278 VIC393277:VIC393278 UYG393277:UYG393278 UOK393277:UOK393278 UEO393277:UEO393278 TUS393277:TUS393278 TKW393277:TKW393278 TBA393277:TBA393278 SRE393277:SRE393278 SHI393277:SHI393278 RXM393277:RXM393278 RNQ393277:RNQ393278 RDU393277:RDU393278 QTY393277:QTY393278 QKC393277:QKC393278 QAG393277:QAG393278 PQK393277:PQK393278 PGO393277:PGO393278 OWS393277:OWS393278 OMW393277:OMW393278 ODA393277:ODA393278 NTE393277:NTE393278 NJI393277:NJI393278 MZM393277:MZM393278 MPQ393277:MPQ393278 MFU393277:MFU393278 LVY393277:LVY393278 LMC393277:LMC393278 LCG393277:LCG393278 KSK393277:KSK393278 KIO393277:KIO393278 JYS393277:JYS393278 JOW393277:JOW393278 JFA393277:JFA393278 IVE393277:IVE393278 ILI393277:ILI393278 IBM393277:IBM393278 HRQ393277:HRQ393278 HHU393277:HHU393278 GXY393277:GXY393278 GOC393277:GOC393278 GEG393277:GEG393278 FUK393277:FUK393278 FKO393277:FKO393278 FAS393277:FAS393278 EQW393277:EQW393278 EHA393277:EHA393278 DXE393277:DXE393278 DNI393277:DNI393278 DDM393277:DDM393278 CTQ393277:CTQ393278 CJU393277:CJU393278 BZY393277:BZY393278 BQC393277:BQC393278 BGG393277:BGG393278 AWK393277:AWK393278 AMO393277:AMO393278 ACS393277:ACS393278 SW393277:SW393278 JA393277:JA393278 E393277:E393278 WVM327741:WVM327742 WLQ327741:WLQ327742 WBU327741:WBU327742 VRY327741:VRY327742 VIC327741:VIC327742 UYG327741:UYG327742 UOK327741:UOK327742 UEO327741:UEO327742 TUS327741:TUS327742 TKW327741:TKW327742 TBA327741:TBA327742 SRE327741:SRE327742 SHI327741:SHI327742 RXM327741:RXM327742 RNQ327741:RNQ327742 RDU327741:RDU327742 QTY327741:QTY327742 QKC327741:QKC327742 QAG327741:QAG327742 PQK327741:PQK327742 PGO327741:PGO327742 OWS327741:OWS327742 OMW327741:OMW327742 ODA327741:ODA327742 NTE327741:NTE327742 NJI327741:NJI327742 MZM327741:MZM327742 MPQ327741:MPQ327742 MFU327741:MFU327742 LVY327741:LVY327742 LMC327741:LMC327742 LCG327741:LCG327742 KSK327741:KSK327742 KIO327741:KIO327742 JYS327741:JYS327742 JOW327741:JOW327742 JFA327741:JFA327742 IVE327741:IVE327742 ILI327741:ILI327742 IBM327741:IBM327742 HRQ327741:HRQ327742 HHU327741:HHU327742 GXY327741:GXY327742 GOC327741:GOC327742 GEG327741:GEG327742 FUK327741:FUK327742 FKO327741:FKO327742 FAS327741:FAS327742 EQW327741:EQW327742 EHA327741:EHA327742 DXE327741:DXE327742 DNI327741:DNI327742 DDM327741:DDM327742 CTQ327741:CTQ327742 CJU327741:CJU327742 BZY327741:BZY327742 BQC327741:BQC327742 BGG327741:BGG327742 AWK327741:AWK327742 AMO327741:AMO327742 ACS327741:ACS327742 SW327741:SW327742 JA327741:JA327742 E327741:E327742 WVM262205:WVM262206 WLQ262205:WLQ262206 WBU262205:WBU262206 VRY262205:VRY262206 VIC262205:VIC262206 UYG262205:UYG262206 UOK262205:UOK262206 UEO262205:UEO262206 TUS262205:TUS262206 TKW262205:TKW262206 TBA262205:TBA262206 SRE262205:SRE262206 SHI262205:SHI262206 RXM262205:RXM262206 RNQ262205:RNQ262206 RDU262205:RDU262206 QTY262205:QTY262206 QKC262205:QKC262206 QAG262205:QAG262206 PQK262205:PQK262206 PGO262205:PGO262206 OWS262205:OWS262206 OMW262205:OMW262206 ODA262205:ODA262206 NTE262205:NTE262206 NJI262205:NJI262206 MZM262205:MZM262206 MPQ262205:MPQ262206 MFU262205:MFU262206 LVY262205:LVY262206 LMC262205:LMC262206 LCG262205:LCG262206 KSK262205:KSK262206 KIO262205:KIO262206 JYS262205:JYS262206 JOW262205:JOW262206 JFA262205:JFA262206 IVE262205:IVE262206 ILI262205:ILI262206 IBM262205:IBM262206 HRQ262205:HRQ262206 HHU262205:HHU262206 GXY262205:GXY262206 GOC262205:GOC262206 GEG262205:GEG262206 FUK262205:FUK262206 FKO262205:FKO262206 FAS262205:FAS262206 EQW262205:EQW262206 EHA262205:EHA262206 DXE262205:DXE262206 DNI262205:DNI262206 DDM262205:DDM262206 CTQ262205:CTQ262206 CJU262205:CJU262206 BZY262205:BZY262206 BQC262205:BQC262206 BGG262205:BGG262206 AWK262205:AWK262206 AMO262205:AMO262206 ACS262205:ACS262206 SW262205:SW262206 JA262205:JA262206 E262205:E262206 WVM196669:WVM196670 WLQ196669:WLQ196670 WBU196669:WBU196670 VRY196669:VRY196670 VIC196669:VIC196670 UYG196669:UYG196670 UOK196669:UOK196670 UEO196669:UEO196670 TUS196669:TUS196670 TKW196669:TKW196670 TBA196669:TBA196670 SRE196669:SRE196670 SHI196669:SHI196670 RXM196669:RXM196670 RNQ196669:RNQ196670 RDU196669:RDU196670 QTY196669:QTY196670 QKC196669:QKC196670 QAG196669:QAG196670 PQK196669:PQK196670 PGO196669:PGO196670 OWS196669:OWS196670 OMW196669:OMW196670 ODA196669:ODA196670 NTE196669:NTE196670 NJI196669:NJI196670 MZM196669:MZM196670 MPQ196669:MPQ196670 MFU196669:MFU196670 LVY196669:LVY196670 LMC196669:LMC196670 LCG196669:LCG196670 KSK196669:KSK196670 KIO196669:KIO196670 JYS196669:JYS196670 JOW196669:JOW196670 JFA196669:JFA196670 IVE196669:IVE196670 ILI196669:ILI196670 IBM196669:IBM196670 HRQ196669:HRQ196670 HHU196669:HHU196670 GXY196669:GXY196670 GOC196669:GOC196670 GEG196669:GEG196670 FUK196669:FUK196670 FKO196669:FKO196670 FAS196669:FAS196670 EQW196669:EQW196670 EHA196669:EHA196670 DXE196669:DXE196670 DNI196669:DNI196670 DDM196669:DDM196670 CTQ196669:CTQ196670 CJU196669:CJU196670 BZY196669:BZY196670 BQC196669:BQC196670 BGG196669:BGG196670 AWK196669:AWK196670 AMO196669:AMO196670 ACS196669:ACS196670 SW196669:SW196670 JA196669:JA196670 E196669:E196670 WVM131133:WVM131134 WLQ131133:WLQ131134 WBU131133:WBU131134 VRY131133:VRY131134 VIC131133:VIC131134 UYG131133:UYG131134 UOK131133:UOK131134 UEO131133:UEO131134 TUS131133:TUS131134 TKW131133:TKW131134 TBA131133:TBA131134 SRE131133:SRE131134 SHI131133:SHI131134 RXM131133:RXM131134 RNQ131133:RNQ131134 RDU131133:RDU131134 QTY131133:QTY131134 QKC131133:QKC131134 QAG131133:QAG131134 PQK131133:PQK131134 PGO131133:PGO131134 OWS131133:OWS131134 OMW131133:OMW131134 ODA131133:ODA131134 NTE131133:NTE131134 NJI131133:NJI131134 MZM131133:MZM131134 MPQ131133:MPQ131134 MFU131133:MFU131134 LVY131133:LVY131134 LMC131133:LMC131134 LCG131133:LCG131134 KSK131133:KSK131134 KIO131133:KIO131134 JYS131133:JYS131134 JOW131133:JOW131134 JFA131133:JFA131134 IVE131133:IVE131134 ILI131133:ILI131134 IBM131133:IBM131134 HRQ131133:HRQ131134 HHU131133:HHU131134 GXY131133:GXY131134 GOC131133:GOC131134 GEG131133:GEG131134 FUK131133:FUK131134 FKO131133:FKO131134 FAS131133:FAS131134 EQW131133:EQW131134 EHA131133:EHA131134 DXE131133:DXE131134 DNI131133:DNI131134 DDM131133:DDM131134 CTQ131133:CTQ131134 CJU131133:CJU131134 BZY131133:BZY131134 BQC131133:BQC131134 BGG131133:BGG131134 AWK131133:AWK131134 AMO131133:AMO131134 ACS131133:ACS131134 SW131133:SW131134 JA131133:JA131134 E131133:E131134 WVM65597:WVM65598 WLQ65597:WLQ65598 WBU65597:WBU65598 VRY65597:VRY65598 VIC65597:VIC65598 UYG65597:UYG65598 UOK65597:UOK65598 UEO65597:UEO65598 TUS65597:TUS65598 TKW65597:TKW65598 TBA65597:TBA65598 SRE65597:SRE65598 SHI65597:SHI65598 RXM65597:RXM65598 RNQ65597:RNQ65598 RDU65597:RDU65598 QTY65597:QTY65598 QKC65597:QKC65598 QAG65597:QAG65598 PQK65597:PQK65598 PGO65597:PGO65598 OWS65597:OWS65598 OMW65597:OMW65598 ODA65597:ODA65598 NTE65597:NTE65598 NJI65597:NJI65598 MZM65597:MZM65598 MPQ65597:MPQ65598 MFU65597:MFU65598 LVY65597:LVY65598 LMC65597:LMC65598 LCG65597:LCG65598 KSK65597:KSK65598 KIO65597:KIO65598 JYS65597:JYS65598 JOW65597:JOW65598 JFA65597:JFA65598 IVE65597:IVE65598 ILI65597:ILI65598 IBM65597:IBM65598 HRQ65597:HRQ65598 HHU65597:HHU65598 GXY65597:GXY65598 GOC65597:GOC65598 GEG65597:GEG65598 FUK65597:FUK65598 FKO65597:FKO65598 FAS65597:FAS65598 EQW65597:EQW65598 EHA65597:EHA65598 DXE65597:DXE65598 DNI65597:DNI65598 DDM65597:DDM65598 CTQ65597:CTQ65598 CJU65597:CJU65598 BZY65597:BZY65598 BQC65597:BQC65598 BGG65597:BGG65598 AWK65597:AWK65598 AMO65597:AMO65598 ACS65597:ACS65598 SW65597:SW65598 JA65597:JA65598 E65597:E65598 WVM61:WVM62 WLQ61:WLQ62 WBU61:WBU62 VRY61:VRY62 VIC61:VIC62 UYG61:UYG62 UOK61:UOK62 UEO61:UEO62 TUS61:TUS62 TKW61:TKW62 TBA61:TBA62 SRE61:SRE62 SHI61:SHI62 RXM61:RXM62 RNQ61:RNQ62 RDU61:RDU62 QTY61:QTY62 QKC61:QKC62 QAG61:QAG62 PQK61:PQK62 PGO61:PGO62 OWS61:OWS62 OMW61:OMW62 ODA61:ODA62 NTE61:NTE62 NJI61:NJI62 MZM61:MZM62 MPQ61:MPQ62 MFU61:MFU62 LVY61:LVY62 LMC61:LMC62 LCG61:LCG62 KSK61:KSK62 KIO61:KIO62 JYS61:JYS62 JOW61:JOW62 JFA61:JFA62 IVE61:IVE62 ILI61:ILI62 IBM61:IBM62 HRQ61:HRQ62 HHU61:HHU62 GXY61:GXY62 GOC61:GOC62 GEG61:GEG62 FUK61:FUK62 FKO61:FKO62 FAS61:FAS62 EQW61:EQW62 EHA61:EHA62 DXE61:DXE62 DNI61:DNI62 DDM61:DDM62 CTQ61:CTQ62 CJU61:CJU62 BZY61:BZY62 BQC61:BQC62 BGG61:BGG62 AWK61:AWK62 AMO61:AMO62 ACS61:ACS62 SW61:SW62 JA61:JA62 WVM983101:WVM983102 WVM983099 WLQ983099 WBU983099 VRY983099 VIC983099 UYG983099 UOK983099 UEO983099 TUS983099 TKW983099 TBA983099 SRE983099 SHI983099 RXM983099 RNQ983099 RDU983099 QTY983099 QKC983099 QAG983099 PQK983099 PGO983099 OWS983099 OMW983099 ODA983099 NTE983099 NJI983099 MZM983099 MPQ983099 MFU983099 LVY983099 LMC983099 LCG983099 KSK983099 KIO983099 JYS983099 JOW983099 JFA983099 IVE983099 ILI983099 IBM983099 HRQ983099 HHU983099 GXY983099 GOC983099 GEG983099 FUK983099 FKO983099 FAS983099 EQW983099 EHA983099 DXE983099 DNI983099 DDM983099 CTQ983099 CJU983099 BZY983099 BQC983099 BGG983099 AWK983099 AMO983099 ACS983099 SW983099 JA983099 E983099 WVM917563 WLQ917563 WBU917563 VRY917563 VIC917563 UYG917563 UOK917563 UEO917563 TUS917563 TKW917563 TBA917563 SRE917563 SHI917563 RXM917563 RNQ917563 RDU917563 QTY917563 QKC917563 QAG917563 PQK917563 PGO917563 OWS917563 OMW917563 ODA917563 NTE917563 NJI917563 MZM917563 MPQ917563 MFU917563 LVY917563 LMC917563 LCG917563 KSK917563 KIO917563 JYS917563 JOW917563 JFA917563 IVE917563 ILI917563 IBM917563 HRQ917563 HHU917563 GXY917563 GOC917563 GEG917563 FUK917563 FKO917563 FAS917563 EQW917563 EHA917563 DXE917563 DNI917563 DDM917563 CTQ917563 CJU917563 BZY917563 BQC917563 BGG917563 AWK917563 AMO917563 ACS917563 SW917563 JA917563 E917563 WVM852027 WLQ852027 WBU852027 VRY852027 VIC852027 UYG852027 UOK852027 UEO852027 TUS852027 TKW852027 TBA852027 SRE852027 SHI852027 RXM852027 RNQ852027 RDU852027 QTY852027 QKC852027 QAG852027 PQK852027 PGO852027 OWS852027 OMW852027 ODA852027 NTE852027 NJI852027 MZM852027 MPQ852027 MFU852027 LVY852027 LMC852027 LCG852027 KSK852027 KIO852027 JYS852027 JOW852027 JFA852027 IVE852027 ILI852027 IBM852027 HRQ852027 HHU852027 GXY852027 GOC852027 GEG852027 FUK852027 FKO852027 FAS852027 EQW852027 EHA852027 DXE852027 DNI852027 DDM852027 CTQ852027 CJU852027 BZY852027 BQC852027 BGG852027 AWK852027 AMO852027 ACS852027 SW852027 JA852027 E852027 WVM786491 WLQ786491 WBU786491 VRY786491 VIC786491 UYG786491 UOK786491 UEO786491 TUS786491 TKW786491 TBA786491 SRE786491 SHI786491 RXM786491 RNQ786491 RDU786491 QTY786491 QKC786491 QAG786491 PQK786491 PGO786491 OWS786491 OMW786491 ODA786491 NTE786491 NJI786491 MZM786491 MPQ786491 MFU786491 LVY786491 LMC786491 LCG786491 KSK786491 KIO786491 JYS786491 JOW786491 JFA786491 IVE786491 ILI786491 IBM786491 HRQ786491 HHU786491 GXY786491 GOC786491 GEG786491 FUK786491 FKO786491 FAS786491 EQW786491 EHA786491 DXE786491 DNI786491 DDM786491 CTQ786491 CJU786491 BZY786491 BQC786491 BGG786491 AWK786491 AMO786491 ACS786491 SW786491 JA786491 E786491 WVM720955 WLQ720955 WBU720955 VRY720955 VIC720955 UYG720955 UOK720955 UEO720955 TUS720955 TKW720955 TBA720955 SRE720955 SHI720955 RXM720955 RNQ720955 RDU720955 QTY720955 QKC720955 QAG720955 PQK720955 PGO720955 OWS720955 OMW720955 ODA720955 NTE720955 NJI720955 MZM720955 MPQ720955 MFU720955 LVY720955 LMC720955 LCG720955 KSK720955 KIO720955 JYS720955 JOW720955 JFA720955 IVE720955 ILI720955 IBM720955 HRQ720955 HHU720955 GXY720955 GOC720955 GEG720955 FUK720955 FKO720955 FAS720955 EQW720955 EHA720955 DXE720955 DNI720955 DDM720955 CTQ720955 CJU720955 BZY720955 BQC720955 BGG720955 AWK720955 AMO720955 ACS720955 SW720955 JA720955 E720955 WVM655419 WLQ655419 WBU655419 VRY655419 VIC655419 UYG655419 UOK655419 UEO655419 TUS655419 TKW655419 TBA655419 SRE655419 SHI655419 RXM655419 RNQ655419 RDU655419 QTY655419 QKC655419 QAG655419 PQK655419 PGO655419 OWS655419 OMW655419 ODA655419 NTE655419 NJI655419 MZM655419 MPQ655419 MFU655419 LVY655419 LMC655419 LCG655419 KSK655419 KIO655419 JYS655419 JOW655419 JFA655419 IVE655419 ILI655419 IBM655419 HRQ655419 HHU655419 GXY655419 GOC655419 GEG655419 FUK655419 FKO655419 FAS655419 EQW655419 EHA655419 DXE655419 DNI655419 DDM655419 CTQ655419 CJU655419 BZY655419 BQC655419 BGG655419 AWK655419 AMO655419 ACS655419 SW655419 JA655419 E655419 WVM589883 WLQ589883 WBU589883 VRY589883 VIC589883 UYG589883 UOK589883 UEO589883 TUS589883 TKW589883 TBA589883 SRE589883 SHI589883 RXM589883 RNQ589883 RDU589883 QTY589883 QKC589883 QAG589883 PQK589883 PGO589883 OWS589883 OMW589883 ODA589883 NTE589883 NJI589883 MZM589883 MPQ589883 MFU589883 LVY589883 LMC589883 LCG589883 KSK589883 KIO589883 JYS589883 JOW589883 JFA589883 IVE589883 ILI589883 IBM589883 HRQ589883 HHU589883 GXY589883 GOC589883 GEG589883 FUK589883 FKO589883 FAS589883 EQW589883 EHA589883 DXE589883 DNI589883 DDM589883 CTQ589883 CJU589883 BZY589883 BQC589883 BGG589883 AWK589883 AMO589883 ACS589883 SW589883 JA589883 E589883 WVM524347 WLQ524347 WBU524347 VRY524347 VIC524347 UYG524347 UOK524347 UEO524347 TUS524347 TKW524347 TBA524347 SRE524347 SHI524347 RXM524347 RNQ524347 RDU524347 QTY524347 QKC524347 QAG524347 PQK524347 PGO524347 OWS524347 OMW524347 ODA524347 NTE524347 NJI524347 MZM524347 MPQ524347 MFU524347 LVY524347 LMC524347 LCG524347 KSK524347 KIO524347 JYS524347 JOW524347 JFA524347 IVE524347 ILI524347 IBM524347 HRQ524347 HHU524347 GXY524347 GOC524347 GEG524347 FUK524347 FKO524347 FAS524347 EQW524347 EHA524347 DXE524347 DNI524347 DDM524347 CTQ524347 CJU524347 BZY524347 BQC524347 BGG524347 AWK524347 AMO524347 ACS524347 SW524347 JA524347 E524347 WVM458811 WLQ458811 WBU458811 VRY458811 VIC458811 UYG458811 UOK458811 UEO458811 TUS458811 TKW458811 TBA458811 SRE458811 SHI458811 RXM458811 RNQ458811 RDU458811 QTY458811 QKC458811 QAG458811 PQK458811 PGO458811 OWS458811 OMW458811 ODA458811 NTE458811 NJI458811 MZM458811 MPQ458811 MFU458811 LVY458811 LMC458811 LCG458811 KSK458811 KIO458811 JYS458811 JOW458811 JFA458811 IVE458811 ILI458811 IBM458811 HRQ458811 HHU458811 GXY458811 GOC458811 GEG458811 FUK458811 FKO458811 FAS458811 EQW458811 EHA458811 DXE458811 DNI458811 DDM458811 CTQ458811 CJU458811 BZY458811 BQC458811 BGG458811 AWK458811 AMO458811 ACS458811 SW458811 JA458811 E458811 WVM393275 WLQ393275 WBU393275 VRY393275 VIC393275 UYG393275 UOK393275 UEO393275 TUS393275 TKW393275 TBA393275 SRE393275 SHI393275 RXM393275 RNQ393275 RDU393275 QTY393275 QKC393275 QAG393275 PQK393275 PGO393275 OWS393275 OMW393275 ODA393275 NTE393275 NJI393275 MZM393275 MPQ393275 MFU393275 LVY393275 LMC393275 LCG393275 KSK393275 KIO393275 JYS393275 JOW393275 JFA393275 IVE393275 ILI393275 IBM393275 HRQ393275 HHU393275 GXY393275 GOC393275 GEG393275 FUK393275 FKO393275 FAS393275 EQW393275 EHA393275 DXE393275 DNI393275 DDM393275 CTQ393275 CJU393275 BZY393275 BQC393275 BGG393275 AWK393275 AMO393275 ACS393275 SW393275 JA393275 E393275 WVM327739 WLQ327739 WBU327739 VRY327739 VIC327739 UYG327739 UOK327739 UEO327739 TUS327739 TKW327739 TBA327739 SRE327739 SHI327739 RXM327739 RNQ327739 RDU327739 QTY327739 QKC327739 QAG327739 PQK327739 PGO327739 OWS327739 OMW327739 ODA327739 NTE327739 NJI327739 MZM327739 MPQ327739 MFU327739 LVY327739 LMC327739 LCG327739 KSK327739 KIO327739 JYS327739 JOW327739 JFA327739 IVE327739 ILI327739 IBM327739 HRQ327739 HHU327739 GXY327739 GOC327739 GEG327739 FUK327739 FKO327739 FAS327739 EQW327739 EHA327739 DXE327739 DNI327739 DDM327739 CTQ327739 CJU327739 BZY327739 BQC327739 BGG327739 AWK327739 AMO327739 ACS327739 SW327739 JA327739 E327739 WVM262203 WLQ262203 WBU262203 VRY262203 VIC262203 UYG262203 UOK262203 UEO262203 TUS262203 TKW262203 TBA262203 SRE262203 SHI262203 RXM262203 RNQ262203 RDU262203 QTY262203 QKC262203 QAG262203 PQK262203 PGO262203 OWS262203 OMW262203 ODA262203 NTE262203 NJI262203 MZM262203 MPQ262203 MFU262203 LVY262203 LMC262203 LCG262203 KSK262203 KIO262203 JYS262203 JOW262203 JFA262203 IVE262203 ILI262203 IBM262203 HRQ262203 HHU262203 GXY262203 GOC262203 GEG262203 FUK262203 FKO262203 FAS262203 EQW262203 EHA262203 DXE262203 DNI262203 DDM262203 CTQ262203 CJU262203 BZY262203 BQC262203 BGG262203 AWK262203 AMO262203 ACS262203 SW262203 JA262203 E262203 WVM196667 WLQ196667 WBU196667 VRY196667 VIC196667 UYG196667 UOK196667 UEO196667 TUS196667 TKW196667 TBA196667 SRE196667 SHI196667 RXM196667 RNQ196667 RDU196667 QTY196667 QKC196667 QAG196667 PQK196667 PGO196667 OWS196667 OMW196667 ODA196667 NTE196667 NJI196667 MZM196667 MPQ196667 MFU196667 LVY196667 LMC196667 LCG196667 KSK196667 KIO196667 JYS196667 JOW196667 JFA196667 IVE196667 ILI196667 IBM196667 HRQ196667 HHU196667 GXY196667 GOC196667 GEG196667 FUK196667 FKO196667 FAS196667 EQW196667 EHA196667 DXE196667 DNI196667 DDM196667 CTQ196667 CJU196667 BZY196667 BQC196667 BGG196667 AWK196667 AMO196667 ACS196667 SW196667 JA196667 E196667 WVM131131 WLQ131131 WBU131131 VRY131131 VIC131131 UYG131131 UOK131131 UEO131131 TUS131131 TKW131131 TBA131131 SRE131131 SHI131131 RXM131131 RNQ131131 RDU131131 QTY131131 QKC131131 QAG131131 PQK131131 PGO131131 OWS131131 OMW131131 ODA131131 NTE131131 NJI131131 MZM131131 MPQ131131 MFU131131 LVY131131 LMC131131 LCG131131 KSK131131 KIO131131 JYS131131 JOW131131 JFA131131 IVE131131 ILI131131 IBM131131 HRQ131131 HHU131131 GXY131131 GOC131131 GEG131131 FUK131131 FKO131131 FAS131131 EQW131131 EHA131131 DXE131131 DNI131131 DDM131131 CTQ131131 CJU131131 BZY131131 BQC131131 BGG131131 AWK131131 AMO131131 ACS131131 SW131131 JA131131 E131131 WVM65595 WLQ65595 WBU65595 VRY65595 VIC65595 UYG65595 UOK65595 UEO65595 TUS65595 TKW65595 TBA65595 SRE65595 SHI65595 RXM65595 RNQ65595 RDU65595 QTY65595 QKC65595 QAG65595 PQK65595 PGO65595 OWS65595 OMW65595 ODA65595 NTE65595 NJI65595 MZM65595 MPQ65595 MFU65595 LVY65595 LMC65595 LCG65595 KSK65595 KIO65595 JYS65595 JOW65595 JFA65595 IVE65595 ILI65595 IBM65595 HRQ65595 HHU65595 GXY65595 GOC65595 GEG65595 FUK65595 FKO65595 FAS65595 EQW65595 EHA65595 DXE65595 DNI65595 DDM65595 CTQ65595 CJU65595 BZY65595 BQC65595 BGG65595 AWK65595 AMO65595 ACS65595 SW65595 JA65595 E65595 WVM59 WLQ59 WBU59 VRY59 VIC59 UYG59 UOK59 UEO59 TUS59 TKW59 TBA59 SRE59 SHI59 RXM59 RNQ59 RDU59 QTY59 QKC59 QAG59 PQK59 PGO59 OWS59 OMW59 ODA59 NTE59 NJI59 MZM59 MPQ59 MFU59 LVY59 LMC59 LCG59 KSK59 KIO59 JYS59 JOW59 JFA59 IVE59 ILI59 IBM59 HRQ59 HHU59 GXY59 GOC59 GEG59 FUK59 FKO59 FAS59 EQW59 EHA59 DXE59 DNI59 DDM59 CTQ59 CJU59 BZY59 BQC59 BGG59 AWK59 AMO59 ACS59 SW59 JA59 WLQ983101:WLQ983102 WVM983080:WVM983096 WLQ983080:WLQ983096 WBU983080:WBU983096 VRY983080:VRY983096 VIC983080:VIC983096 UYG983080:UYG983096 UOK983080:UOK983096 UEO983080:UEO983096 TUS983080:TUS983096 TKW983080:TKW983096 TBA983080:TBA983096 SRE983080:SRE983096 SHI983080:SHI983096 RXM983080:RXM983096 RNQ983080:RNQ983096 RDU983080:RDU983096 QTY983080:QTY983096 QKC983080:QKC983096 QAG983080:QAG983096 PQK983080:PQK983096 PGO983080:PGO983096 OWS983080:OWS983096 OMW983080:OMW983096 ODA983080:ODA983096 NTE983080:NTE983096 NJI983080:NJI983096 MZM983080:MZM983096 MPQ983080:MPQ983096 MFU983080:MFU983096 LVY983080:LVY983096 LMC983080:LMC983096 LCG983080:LCG983096 KSK983080:KSK983096 KIO983080:KIO983096 JYS983080:JYS983096 JOW983080:JOW983096 JFA983080:JFA983096 IVE983080:IVE983096 ILI983080:ILI983096 IBM983080:IBM983096 HRQ983080:HRQ983096 HHU983080:HHU983096 GXY983080:GXY983096 GOC983080:GOC983096 GEG983080:GEG983096 FUK983080:FUK983096 FKO983080:FKO983096 FAS983080:FAS983096 EQW983080:EQW983096 EHA983080:EHA983096 DXE983080:DXE983096 DNI983080:DNI983096 DDM983080:DDM983096 CTQ983080:CTQ983096 CJU983080:CJU983096 BZY983080:BZY983096 BQC983080:BQC983096 BGG983080:BGG983096 AWK983080:AWK983096 AMO983080:AMO983096 ACS983080:ACS983096 SW983080:SW983096 JA983080:JA983096 E983080:E983096 WVM917544:WVM917560 WLQ917544:WLQ917560 WBU917544:WBU917560 VRY917544:VRY917560 VIC917544:VIC917560 UYG917544:UYG917560 UOK917544:UOK917560 UEO917544:UEO917560 TUS917544:TUS917560 TKW917544:TKW917560 TBA917544:TBA917560 SRE917544:SRE917560 SHI917544:SHI917560 RXM917544:RXM917560 RNQ917544:RNQ917560 RDU917544:RDU917560 QTY917544:QTY917560 QKC917544:QKC917560 QAG917544:QAG917560 PQK917544:PQK917560 PGO917544:PGO917560 OWS917544:OWS917560 OMW917544:OMW917560 ODA917544:ODA917560 NTE917544:NTE917560 NJI917544:NJI917560 MZM917544:MZM917560 MPQ917544:MPQ917560 MFU917544:MFU917560 LVY917544:LVY917560 LMC917544:LMC917560 LCG917544:LCG917560 KSK917544:KSK917560 KIO917544:KIO917560 JYS917544:JYS917560 JOW917544:JOW917560 JFA917544:JFA917560 IVE917544:IVE917560 ILI917544:ILI917560 IBM917544:IBM917560 HRQ917544:HRQ917560 HHU917544:HHU917560 GXY917544:GXY917560 GOC917544:GOC917560 GEG917544:GEG917560 FUK917544:FUK917560 FKO917544:FKO917560 FAS917544:FAS917560 EQW917544:EQW917560 EHA917544:EHA917560 DXE917544:DXE917560 DNI917544:DNI917560 DDM917544:DDM917560 CTQ917544:CTQ917560 CJU917544:CJU917560 BZY917544:BZY917560 BQC917544:BQC917560 BGG917544:BGG917560 AWK917544:AWK917560 AMO917544:AMO917560 ACS917544:ACS917560 SW917544:SW917560 JA917544:JA917560 E917544:E917560 WVM852008:WVM852024 WLQ852008:WLQ852024 WBU852008:WBU852024 VRY852008:VRY852024 VIC852008:VIC852024 UYG852008:UYG852024 UOK852008:UOK852024 UEO852008:UEO852024 TUS852008:TUS852024 TKW852008:TKW852024 TBA852008:TBA852024 SRE852008:SRE852024 SHI852008:SHI852024 RXM852008:RXM852024 RNQ852008:RNQ852024 RDU852008:RDU852024 QTY852008:QTY852024 QKC852008:QKC852024 QAG852008:QAG852024 PQK852008:PQK852024 PGO852008:PGO852024 OWS852008:OWS852024 OMW852008:OMW852024 ODA852008:ODA852024 NTE852008:NTE852024 NJI852008:NJI852024 MZM852008:MZM852024 MPQ852008:MPQ852024 MFU852008:MFU852024 LVY852008:LVY852024 LMC852008:LMC852024 LCG852008:LCG852024 KSK852008:KSK852024 KIO852008:KIO852024 JYS852008:JYS852024 JOW852008:JOW852024 JFA852008:JFA852024 IVE852008:IVE852024 ILI852008:ILI852024 IBM852008:IBM852024 HRQ852008:HRQ852024 HHU852008:HHU852024 GXY852008:GXY852024 GOC852008:GOC852024 GEG852008:GEG852024 FUK852008:FUK852024 FKO852008:FKO852024 FAS852008:FAS852024 EQW852008:EQW852024 EHA852008:EHA852024 DXE852008:DXE852024 DNI852008:DNI852024 DDM852008:DDM852024 CTQ852008:CTQ852024 CJU852008:CJU852024 BZY852008:BZY852024 BQC852008:BQC852024 BGG852008:BGG852024 AWK852008:AWK852024 AMO852008:AMO852024 ACS852008:ACS852024 SW852008:SW852024 JA852008:JA852024 E852008:E852024 WVM786472:WVM786488 WLQ786472:WLQ786488 WBU786472:WBU786488 VRY786472:VRY786488 VIC786472:VIC786488 UYG786472:UYG786488 UOK786472:UOK786488 UEO786472:UEO786488 TUS786472:TUS786488 TKW786472:TKW786488 TBA786472:TBA786488 SRE786472:SRE786488 SHI786472:SHI786488 RXM786472:RXM786488 RNQ786472:RNQ786488 RDU786472:RDU786488 QTY786472:QTY786488 QKC786472:QKC786488 QAG786472:QAG786488 PQK786472:PQK786488 PGO786472:PGO786488 OWS786472:OWS786488 OMW786472:OMW786488 ODA786472:ODA786488 NTE786472:NTE786488 NJI786472:NJI786488 MZM786472:MZM786488 MPQ786472:MPQ786488 MFU786472:MFU786488 LVY786472:LVY786488 LMC786472:LMC786488 LCG786472:LCG786488 KSK786472:KSK786488 KIO786472:KIO786488 JYS786472:JYS786488 JOW786472:JOW786488 JFA786472:JFA786488 IVE786472:IVE786488 ILI786472:ILI786488 IBM786472:IBM786488 HRQ786472:HRQ786488 HHU786472:HHU786488 GXY786472:GXY786488 GOC786472:GOC786488 GEG786472:GEG786488 FUK786472:FUK786488 FKO786472:FKO786488 FAS786472:FAS786488 EQW786472:EQW786488 EHA786472:EHA786488 DXE786472:DXE786488 DNI786472:DNI786488 DDM786472:DDM786488 CTQ786472:CTQ786488 CJU786472:CJU786488 BZY786472:BZY786488 BQC786472:BQC786488 BGG786472:BGG786488 AWK786472:AWK786488 AMO786472:AMO786488 ACS786472:ACS786488 SW786472:SW786488 JA786472:JA786488 E786472:E786488 WVM720936:WVM720952 WLQ720936:WLQ720952 WBU720936:WBU720952 VRY720936:VRY720952 VIC720936:VIC720952 UYG720936:UYG720952 UOK720936:UOK720952 UEO720936:UEO720952 TUS720936:TUS720952 TKW720936:TKW720952 TBA720936:TBA720952 SRE720936:SRE720952 SHI720936:SHI720952 RXM720936:RXM720952 RNQ720936:RNQ720952 RDU720936:RDU720952 QTY720936:QTY720952 QKC720936:QKC720952 QAG720936:QAG720952 PQK720936:PQK720952 PGO720936:PGO720952 OWS720936:OWS720952 OMW720936:OMW720952 ODA720936:ODA720952 NTE720936:NTE720952 NJI720936:NJI720952 MZM720936:MZM720952 MPQ720936:MPQ720952 MFU720936:MFU720952 LVY720936:LVY720952 LMC720936:LMC720952 LCG720936:LCG720952 KSK720936:KSK720952 KIO720936:KIO720952 JYS720936:JYS720952 JOW720936:JOW720952 JFA720936:JFA720952 IVE720936:IVE720952 ILI720936:ILI720952 IBM720936:IBM720952 HRQ720936:HRQ720952 HHU720936:HHU720952 GXY720936:GXY720952 GOC720936:GOC720952 GEG720936:GEG720952 FUK720936:FUK720952 FKO720936:FKO720952 FAS720936:FAS720952 EQW720936:EQW720952 EHA720936:EHA720952 DXE720936:DXE720952 DNI720936:DNI720952 DDM720936:DDM720952 CTQ720936:CTQ720952 CJU720936:CJU720952 BZY720936:BZY720952 BQC720936:BQC720952 BGG720936:BGG720952 AWK720936:AWK720952 AMO720936:AMO720952 ACS720936:ACS720952 SW720936:SW720952 JA720936:JA720952 E720936:E720952 WVM655400:WVM655416 WLQ655400:WLQ655416 WBU655400:WBU655416 VRY655400:VRY655416 VIC655400:VIC655416 UYG655400:UYG655416 UOK655400:UOK655416 UEO655400:UEO655416 TUS655400:TUS655416 TKW655400:TKW655416 TBA655400:TBA655416 SRE655400:SRE655416 SHI655400:SHI655416 RXM655400:RXM655416 RNQ655400:RNQ655416 RDU655400:RDU655416 QTY655400:QTY655416 QKC655400:QKC655416 QAG655400:QAG655416 PQK655400:PQK655416 PGO655400:PGO655416 OWS655400:OWS655416 OMW655400:OMW655416 ODA655400:ODA655416 NTE655400:NTE655416 NJI655400:NJI655416 MZM655400:MZM655416 MPQ655400:MPQ655416 MFU655400:MFU655416 LVY655400:LVY655416 LMC655400:LMC655416 LCG655400:LCG655416 KSK655400:KSK655416 KIO655400:KIO655416 JYS655400:JYS655416 JOW655400:JOW655416 JFA655400:JFA655416 IVE655400:IVE655416 ILI655400:ILI655416 IBM655400:IBM655416 HRQ655400:HRQ655416 HHU655400:HHU655416 GXY655400:GXY655416 GOC655400:GOC655416 GEG655400:GEG655416 FUK655400:FUK655416 FKO655400:FKO655416 FAS655400:FAS655416 EQW655400:EQW655416 EHA655400:EHA655416 DXE655400:DXE655416 DNI655400:DNI655416 DDM655400:DDM655416 CTQ655400:CTQ655416 CJU655400:CJU655416 BZY655400:BZY655416 BQC655400:BQC655416 BGG655400:BGG655416 AWK655400:AWK655416 AMO655400:AMO655416 ACS655400:ACS655416 SW655400:SW655416 JA655400:JA655416 E655400:E655416 WVM589864:WVM589880 WLQ589864:WLQ589880 WBU589864:WBU589880 VRY589864:VRY589880 VIC589864:VIC589880 UYG589864:UYG589880 UOK589864:UOK589880 UEO589864:UEO589880 TUS589864:TUS589880 TKW589864:TKW589880 TBA589864:TBA589880 SRE589864:SRE589880 SHI589864:SHI589880 RXM589864:RXM589880 RNQ589864:RNQ589880 RDU589864:RDU589880 QTY589864:QTY589880 QKC589864:QKC589880 QAG589864:QAG589880 PQK589864:PQK589880 PGO589864:PGO589880 OWS589864:OWS589880 OMW589864:OMW589880 ODA589864:ODA589880 NTE589864:NTE589880 NJI589864:NJI589880 MZM589864:MZM589880 MPQ589864:MPQ589880 MFU589864:MFU589880 LVY589864:LVY589880 LMC589864:LMC589880 LCG589864:LCG589880 KSK589864:KSK589880 KIO589864:KIO589880 JYS589864:JYS589880 JOW589864:JOW589880 JFA589864:JFA589880 IVE589864:IVE589880 ILI589864:ILI589880 IBM589864:IBM589880 HRQ589864:HRQ589880 HHU589864:HHU589880 GXY589864:GXY589880 GOC589864:GOC589880 GEG589864:GEG589880 FUK589864:FUK589880 FKO589864:FKO589880 FAS589864:FAS589880 EQW589864:EQW589880 EHA589864:EHA589880 DXE589864:DXE589880 DNI589864:DNI589880 DDM589864:DDM589880 CTQ589864:CTQ589880 CJU589864:CJU589880 BZY589864:BZY589880 BQC589864:BQC589880 BGG589864:BGG589880 AWK589864:AWK589880 AMO589864:AMO589880 ACS589864:ACS589880 SW589864:SW589880 JA589864:JA589880 E589864:E589880 WVM524328:WVM524344 WLQ524328:WLQ524344 WBU524328:WBU524344 VRY524328:VRY524344 VIC524328:VIC524344 UYG524328:UYG524344 UOK524328:UOK524344 UEO524328:UEO524344 TUS524328:TUS524344 TKW524328:TKW524344 TBA524328:TBA524344 SRE524328:SRE524344 SHI524328:SHI524344 RXM524328:RXM524344 RNQ524328:RNQ524344 RDU524328:RDU524344 QTY524328:QTY524344 QKC524328:QKC524344 QAG524328:QAG524344 PQK524328:PQK524344 PGO524328:PGO524344 OWS524328:OWS524344 OMW524328:OMW524344 ODA524328:ODA524344 NTE524328:NTE524344 NJI524328:NJI524344 MZM524328:MZM524344 MPQ524328:MPQ524344 MFU524328:MFU524344 LVY524328:LVY524344 LMC524328:LMC524344 LCG524328:LCG524344 KSK524328:KSK524344 KIO524328:KIO524344 JYS524328:JYS524344 JOW524328:JOW524344 JFA524328:JFA524344 IVE524328:IVE524344 ILI524328:ILI524344 IBM524328:IBM524344 HRQ524328:HRQ524344 HHU524328:HHU524344 GXY524328:GXY524344 GOC524328:GOC524344 GEG524328:GEG524344 FUK524328:FUK524344 FKO524328:FKO524344 FAS524328:FAS524344 EQW524328:EQW524344 EHA524328:EHA524344 DXE524328:DXE524344 DNI524328:DNI524344 DDM524328:DDM524344 CTQ524328:CTQ524344 CJU524328:CJU524344 BZY524328:BZY524344 BQC524328:BQC524344 BGG524328:BGG524344 AWK524328:AWK524344 AMO524328:AMO524344 ACS524328:ACS524344 SW524328:SW524344 JA524328:JA524344 E524328:E524344 WVM458792:WVM458808 WLQ458792:WLQ458808 WBU458792:WBU458808 VRY458792:VRY458808 VIC458792:VIC458808 UYG458792:UYG458808 UOK458792:UOK458808 UEO458792:UEO458808 TUS458792:TUS458808 TKW458792:TKW458808 TBA458792:TBA458808 SRE458792:SRE458808 SHI458792:SHI458808 RXM458792:RXM458808 RNQ458792:RNQ458808 RDU458792:RDU458808 QTY458792:QTY458808 QKC458792:QKC458808 QAG458792:QAG458808 PQK458792:PQK458808 PGO458792:PGO458808 OWS458792:OWS458808 OMW458792:OMW458808 ODA458792:ODA458808 NTE458792:NTE458808 NJI458792:NJI458808 MZM458792:MZM458808 MPQ458792:MPQ458808 MFU458792:MFU458808 LVY458792:LVY458808 LMC458792:LMC458808 LCG458792:LCG458808 KSK458792:KSK458808 KIO458792:KIO458808 JYS458792:JYS458808 JOW458792:JOW458808 JFA458792:JFA458808 IVE458792:IVE458808 ILI458792:ILI458808 IBM458792:IBM458808 HRQ458792:HRQ458808 HHU458792:HHU458808 GXY458792:GXY458808 GOC458792:GOC458808 GEG458792:GEG458808 FUK458792:FUK458808 FKO458792:FKO458808 FAS458792:FAS458808 EQW458792:EQW458808 EHA458792:EHA458808 DXE458792:DXE458808 DNI458792:DNI458808 DDM458792:DDM458808 CTQ458792:CTQ458808 CJU458792:CJU458808 BZY458792:BZY458808 BQC458792:BQC458808 BGG458792:BGG458808 AWK458792:AWK458808 AMO458792:AMO458808 ACS458792:ACS458808 SW458792:SW458808 JA458792:JA458808 E458792:E458808 WVM393256:WVM393272 WLQ393256:WLQ393272 WBU393256:WBU393272 VRY393256:VRY393272 VIC393256:VIC393272 UYG393256:UYG393272 UOK393256:UOK393272 UEO393256:UEO393272 TUS393256:TUS393272 TKW393256:TKW393272 TBA393256:TBA393272 SRE393256:SRE393272 SHI393256:SHI393272 RXM393256:RXM393272 RNQ393256:RNQ393272 RDU393256:RDU393272 QTY393256:QTY393272 QKC393256:QKC393272 QAG393256:QAG393272 PQK393256:PQK393272 PGO393256:PGO393272 OWS393256:OWS393272 OMW393256:OMW393272 ODA393256:ODA393272 NTE393256:NTE393272 NJI393256:NJI393272 MZM393256:MZM393272 MPQ393256:MPQ393272 MFU393256:MFU393272 LVY393256:LVY393272 LMC393256:LMC393272 LCG393256:LCG393272 KSK393256:KSK393272 KIO393256:KIO393272 JYS393256:JYS393272 JOW393256:JOW393272 JFA393256:JFA393272 IVE393256:IVE393272 ILI393256:ILI393272 IBM393256:IBM393272 HRQ393256:HRQ393272 HHU393256:HHU393272 GXY393256:GXY393272 GOC393256:GOC393272 GEG393256:GEG393272 FUK393256:FUK393272 FKO393256:FKO393272 FAS393256:FAS393272 EQW393256:EQW393272 EHA393256:EHA393272 DXE393256:DXE393272 DNI393256:DNI393272 DDM393256:DDM393272 CTQ393256:CTQ393272 CJU393256:CJU393272 BZY393256:BZY393272 BQC393256:BQC393272 BGG393256:BGG393272 AWK393256:AWK393272 AMO393256:AMO393272 ACS393256:ACS393272 SW393256:SW393272 JA393256:JA393272 E393256:E393272 WVM327720:WVM327736 WLQ327720:WLQ327736 WBU327720:WBU327736 VRY327720:VRY327736 VIC327720:VIC327736 UYG327720:UYG327736 UOK327720:UOK327736 UEO327720:UEO327736 TUS327720:TUS327736 TKW327720:TKW327736 TBA327720:TBA327736 SRE327720:SRE327736 SHI327720:SHI327736 RXM327720:RXM327736 RNQ327720:RNQ327736 RDU327720:RDU327736 QTY327720:QTY327736 QKC327720:QKC327736 QAG327720:QAG327736 PQK327720:PQK327736 PGO327720:PGO327736 OWS327720:OWS327736 OMW327720:OMW327736 ODA327720:ODA327736 NTE327720:NTE327736 NJI327720:NJI327736 MZM327720:MZM327736 MPQ327720:MPQ327736 MFU327720:MFU327736 LVY327720:LVY327736 LMC327720:LMC327736 LCG327720:LCG327736 KSK327720:KSK327736 KIO327720:KIO327736 JYS327720:JYS327736 JOW327720:JOW327736 JFA327720:JFA327736 IVE327720:IVE327736 ILI327720:ILI327736 IBM327720:IBM327736 HRQ327720:HRQ327736 HHU327720:HHU327736 GXY327720:GXY327736 GOC327720:GOC327736 GEG327720:GEG327736 FUK327720:FUK327736 FKO327720:FKO327736 FAS327720:FAS327736 EQW327720:EQW327736 EHA327720:EHA327736 DXE327720:DXE327736 DNI327720:DNI327736 DDM327720:DDM327736 CTQ327720:CTQ327736 CJU327720:CJU327736 BZY327720:BZY327736 BQC327720:BQC327736 BGG327720:BGG327736 AWK327720:AWK327736 AMO327720:AMO327736 ACS327720:ACS327736 SW327720:SW327736 JA327720:JA327736 E327720:E327736 WVM262184:WVM262200 WLQ262184:WLQ262200 WBU262184:WBU262200 VRY262184:VRY262200 VIC262184:VIC262200 UYG262184:UYG262200 UOK262184:UOK262200 UEO262184:UEO262200 TUS262184:TUS262200 TKW262184:TKW262200 TBA262184:TBA262200 SRE262184:SRE262200 SHI262184:SHI262200 RXM262184:RXM262200 RNQ262184:RNQ262200 RDU262184:RDU262200 QTY262184:QTY262200 QKC262184:QKC262200 QAG262184:QAG262200 PQK262184:PQK262200 PGO262184:PGO262200 OWS262184:OWS262200 OMW262184:OMW262200 ODA262184:ODA262200 NTE262184:NTE262200 NJI262184:NJI262200 MZM262184:MZM262200 MPQ262184:MPQ262200 MFU262184:MFU262200 LVY262184:LVY262200 LMC262184:LMC262200 LCG262184:LCG262200 KSK262184:KSK262200 KIO262184:KIO262200 JYS262184:JYS262200 JOW262184:JOW262200 JFA262184:JFA262200 IVE262184:IVE262200 ILI262184:ILI262200 IBM262184:IBM262200 HRQ262184:HRQ262200 HHU262184:HHU262200 GXY262184:GXY262200 GOC262184:GOC262200 GEG262184:GEG262200 FUK262184:FUK262200 FKO262184:FKO262200 FAS262184:FAS262200 EQW262184:EQW262200 EHA262184:EHA262200 DXE262184:DXE262200 DNI262184:DNI262200 DDM262184:DDM262200 CTQ262184:CTQ262200 CJU262184:CJU262200 BZY262184:BZY262200 BQC262184:BQC262200 BGG262184:BGG262200 AWK262184:AWK262200 AMO262184:AMO262200 ACS262184:ACS262200 SW262184:SW262200 JA262184:JA262200 E262184:E262200 WVM196648:WVM196664 WLQ196648:WLQ196664 WBU196648:WBU196664 VRY196648:VRY196664 VIC196648:VIC196664 UYG196648:UYG196664 UOK196648:UOK196664 UEO196648:UEO196664 TUS196648:TUS196664 TKW196648:TKW196664 TBA196648:TBA196664 SRE196648:SRE196664 SHI196648:SHI196664 RXM196648:RXM196664 RNQ196648:RNQ196664 RDU196648:RDU196664 QTY196648:QTY196664 QKC196648:QKC196664 QAG196648:QAG196664 PQK196648:PQK196664 PGO196648:PGO196664 OWS196648:OWS196664 OMW196648:OMW196664 ODA196648:ODA196664 NTE196648:NTE196664 NJI196648:NJI196664 MZM196648:MZM196664 MPQ196648:MPQ196664 MFU196648:MFU196664 LVY196648:LVY196664 LMC196648:LMC196664 LCG196648:LCG196664 KSK196648:KSK196664 KIO196648:KIO196664 JYS196648:JYS196664 JOW196648:JOW196664 JFA196648:JFA196664 IVE196648:IVE196664 ILI196648:ILI196664 IBM196648:IBM196664 HRQ196648:HRQ196664 HHU196648:HHU196664 GXY196648:GXY196664 GOC196648:GOC196664 GEG196648:GEG196664 FUK196648:FUK196664 FKO196648:FKO196664 FAS196648:FAS196664 EQW196648:EQW196664 EHA196648:EHA196664 DXE196648:DXE196664 DNI196648:DNI196664 DDM196648:DDM196664 CTQ196648:CTQ196664 CJU196648:CJU196664 BZY196648:BZY196664 BQC196648:BQC196664 BGG196648:BGG196664 AWK196648:AWK196664 AMO196648:AMO196664 ACS196648:ACS196664 SW196648:SW196664 JA196648:JA196664 E196648:E196664 WVM131112:WVM131128 WLQ131112:WLQ131128 WBU131112:WBU131128 VRY131112:VRY131128 VIC131112:VIC131128 UYG131112:UYG131128 UOK131112:UOK131128 UEO131112:UEO131128 TUS131112:TUS131128 TKW131112:TKW131128 TBA131112:TBA131128 SRE131112:SRE131128 SHI131112:SHI131128 RXM131112:RXM131128 RNQ131112:RNQ131128 RDU131112:RDU131128 QTY131112:QTY131128 QKC131112:QKC131128 QAG131112:QAG131128 PQK131112:PQK131128 PGO131112:PGO131128 OWS131112:OWS131128 OMW131112:OMW131128 ODA131112:ODA131128 NTE131112:NTE131128 NJI131112:NJI131128 MZM131112:MZM131128 MPQ131112:MPQ131128 MFU131112:MFU131128 LVY131112:LVY131128 LMC131112:LMC131128 LCG131112:LCG131128 KSK131112:KSK131128 KIO131112:KIO131128 JYS131112:JYS131128 JOW131112:JOW131128 JFA131112:JFA131128 IVE131112:IVE131128 ILI131112:ILI131128 IBM131112:IBM131128 HRQ131112:HRQ131128 HHU131112:HHU131128 GXY131112:GXY131128 GOC131112:GOC131128 GEG131112:GEG131128 FUK131112:FUK131128 FKO131112:FKO131128 FAS131112:FAS131128 EQW131112:EQW131128 EHA131112:EHA131128 DXE131112:DXE131128 DNI131112:DNI131128 DDM131112:DDM131128 CTQ131112:CTQ131128 CJU131112:CJU131128 BZY131112:BZY131128 BQC131112:BQC131128 BGG131112:BGG131128 AWK131112:AWK131128 AMO131112:AMO131128 ACS131112:ACS131128 SW131112:SW131128 JA131112:JA131128 E131112:E131128 WVM65576:WVM65592 WLQ65576:WLQ65592 WBU65576:WBU65592 VRY65576:VRY65592 VIC65576:VIC65592 UYG65576:UYG65592 UOK65576:UOK65592 UEO65576:UEO65592 TUS65576:TUS65592 TKW65576:TKW65592 TBA65576:TBA65592 SRE65576:SRE65592 SHI65576:SHI65592 RXM65576:RXM65592 RNQ65576:RNQ65592 RDU65576:RDU65592 QTY65576:QTY65592 QKC65576:QKC65592 QAG65576:QAG65592 PQK65576:PQK65592 PGO65576:PGO65592 OWS65576:OWS65592 OMW65576:OMW65592 ODA65576:ODA65592 NTE65576:NTE65592 NJI65576:NJI65592 MZM65576:MZM65592 MPQ65576:MPQ65592 MFU65576:MFU65592 LVY65576:LVY65592 LMC65576:LMC65592 LCG65576:LCG65592 KSK65576:KSK65592 KIO65576:KIO65592 JYS65576:JYS65592 JOW65576:JOW65592 JFA65576:JFA65592 IVE65576:IVE65592 ILI65576:ILI65592 IBM65576:IBM65592 HRQ65576:HRQ65592 HHU65576:HHU65592 GXY65576:GXY65592 GOC65576:GOC65592 GEG65576:GEG65592 FUK65576:FUK65592 FKO65576:FKO65592 FAS65576:FAS65592 EQW65576:EQW65592 EHA65576:EHA65592 DXE65576:DXE65592 DNI65576:DNI65592 DDM65576:DDM65592 CTQ65576:CTQ65592 CJU65576:CJU65592 BZY65576:BZY65592 BQC65576:BQC65592 BGG65576:BGG65592 AWK65576:AWK65592 AMO65576:AMO65592 ACS65576:ACS65592 SW65576:SW65592 JA65576:JA65592 E65576:E65592 WVM40:WVM56 WLQ40:WLQ56 WBU40:WBU56 VRY40:VRY56 VIC40:VIC56 UYG40:UYG56 UOK40:UOK56 UEO40:UEO56 TUS40:TUS56 TKW40:TKW56 TBA40:TBA56 SRE40:SRE56 SHI40:SHI56 RXM40:RXM56 RNQ40:RNQ56 RDU40:RDU56 QTY40:QTY56 QKC40:QKC56 QAG40:QAG56 PQK40:PQK56 PGO40:PGO56 OWS40:OWS56 OMW40:OMW56 ODA40:ODA56 NTE40:NTE56 NJI40:NJI56 MZM40:MZM56 MPQ40:MPQ56 MFU40:MFU56 LVY40:LVY56 LMC40:LMC56 LCG40:LCG56 KSK40:KSK56 KIO40:KIO56 JYS40:JYS56 JOW40:JOW56 JFA40:JFA56 IVE40:IVE56 ILI40:ILI56 IBM40:IBM56 HRQ40:HRQ56 HHU40:HHU56 GXY40:GXY56 GOC40:GOC56 GEG40:GEG56 FUK40:FUK56 FKO40:FKO56 FAS40:FAS56 EQW40:EQW56 EHA40:EHA56 DXE40:DXE56 DNI40:DNI56 DDM40:DDM56 CTQ40:CTQ56 CJU40:CJU56 BZY40:BZY56 BQC40:BQC56 BGG40:BGG56 AWK40:AWK56 AMO40:AMO56 ACS40:ACS56 SW40:SW56 JA40:JA56">
      <formula1>"IDE,WebAPI,WebSamples"</formula1>
    </dataValidation>
    <dataValidation type="list" allowBlank="1" showInputMessage="1" showErrorMessage="1" sqref="WVN983080:WVN983089 F101:F205 H40:H100 WLR983080:WLR983089 WBV983080:WBV983089 VRZ983080:VRZ983089 VID983080:VID983089 UYH983080:UYH983089 UOL983080:UOL983089 UEP983080:UEP983089 TUT983080:TUT983089 TKX983080:TKX983089 TBB983080:TBB983089 SRF983080:SRF983089 SHJ983080:SHJ983089 RXN983080:RXN983089 RNR983080:RNR983089 RDV983080:RDV983089 QTZ983080:QTZ983089 QKD983080:QKD983089 QAH983080:QAH983089 PQL983080:PQL983089 PGP983080:PGP983089 OWT983080:OWT983089 OMX983080:OMX983089 ODB983080:ODB983089 NTF983080:NTF983089 NJJ983080:NJJ983089 MZN983080:MZN983089 MPR983080:MPR983089 MFV983080:MFV983089 LVZ983080:LVZ983089 LMD983080:LMD983089 LCH983080:LCH983089 KSL983080:KSL983089 KIP983080:KIP983089 JYT983080:JYT983089 JOX983080:JOX983089 JFB983080:JFB983089 IVF983080:IVF983089 ILJ983080:ILJ983089 IBN983080:IBN983089 HRR983080:HRR983089 HHV983080:HHV983089 GXZ983080:GXZ983089 GOD983080:GOD983089 GEH983080:GEH983089 FUL983080:FUL983089 FKP983080:FKP983089 FAT983080:FAT983089 EQX983080:EQX983089 EHB983080:EHB983089 DXF983080:DXF983089 DNJ983080:DNJ983089 DDN983080:DDN983089 CTR983080:CTR983089 CJV983080:CJV983089 BZZ983080:BZZ983089 BQD983080:BQD983089 BGH983080:BGH983089 AWL983080:AWL983089 AMP983080:AMP983089 ACT983080:ACT983089 SX983080:SX983089 JB983080:JB983089 F983080:F983089 WVN917544:WVN917553 WLR917544:WLR917553 WBV917544:WBV917553 VRZ917544:VRZ917553 VID917544:VID917553 UYH917544:UYH917553 UOL917544:UOL917553 UEP917544:UEP917553 TUT917544:TUT917553 TKX917544:TKX917553 TBB917544:TBB917553 SRF917544:SRF917553 SHJ917544:SHJ917553 RXN917544:RXN917553 RNR917544:RNR917553 RDV917544:RDV917553 QTZ917544:QTZ917553 QKD917544:QKD917553 QAH917544:QAH917553 PQL917544:PQL917553 PGP917544:PGP917553 OWT917544:OWT917553 OMX917544:OMX917553 ODB917544:ODB917553 NTF917544:NTF917553 NJJ917544:NJJ917553 MZN917544:MZN917553 MPR917544:MPR917553 MFV917544:MFV917553 LVZ917544:LVZ917553 LMD917544:LMD917553 LCH917544:LCH917553 KSL917544:KSL917553 KIP917544:KIP917553 JYT917544:JYT917553 JOX917544:JOX917553 JFB917544:JFB917553 IVF917544:IVF917553 ILJ917544:ILJ917553 IBN917544:IBN917553 HRR917544:HRR917553 HHV917544:HHV917553 GXZ917544:GXZ917553 GOD917544:GOD917553 GEH917544:GEH917553 FUL917544:FUL917553 FKP917544:FKP917553 FAT917544:FAT917553 EQX917544:EQX917553 EHB917544:EHB917553 DXF917544:DXF917553 DNJ917544:DNJ917553 DDN917544:DDN917553 CTR917544:CTR917553 CJV917544:CJV917553 BZZ917544:BZZ917553 BQD917544:BQD917553 BGH917544:BGH917553 AWL917544:AWL917553 AMP917544:AMP917553 ACT917544:ACT917553 SX917544:SX917553 JB917544:JB917553 F917544:F917553 WVN852008:WVN852017 WLR852008:WLR852017 WBV852008:WBV852017 VRZ852008:VRZ852017 VID852008:VID852017 UYH852008:UYH852017 UOL852008:UOL852017 UEP852008:UEP852017 TUT852008:TUT852017 TKX852008:TKX852017 TBB852008:TBB852017 SRF852008:SRF852017 SHJ852008:SHJ852017 RXN852008:RXN852017 RNR852008:RNR852017 RDV852008:RDV852017 QTZ852008:QTZ852017 QKD852008:QKD852017 QAH852008:QAH852017 PQL852008:PQL852017 PGP852008:PGP852017 OWT852008:OWT852017 OMX852008:OMX852017 ODB852008:ODB852017 NTF852008:NTF852017 NJJ852008:NJJ852017 MZN852008:MZN852017 MPR852008:MPR852017 MFV852008:MFV852017 LVZ852008:LVZ852017 LMD852008:LMD852017 LCH852008:LCH852017 KSL852008:KSL852017 KIP852008:KIP852017 JYT852008:JYT852017 JOX852008:JOX852017 JFB852008:JFB852017 IVF852008:IVF852017 ILJ852008:ILJ852017 IBN852008:IBN852017 HRR852008:HRR852017 HHV852008:HHV852017 GXZ852008:GXZ852017 GOD852008:GOD852017 GEH852008:GEH852017 FUL852008:FUL852017 FKP852008:FKP852017 FAT852008:FAT852017 EQX852008:EQX852017 EHB852008:EHB852017 DXF852008:DXF852017 DNJ852008:DNJ852017 DDN852008:DDN852017 CTR852008:CTR852017 CJV852008:CJV852017 BZZ852008:BZZ852017 BQD852008:BQD852017 BGH852008:BGH852017 AWL852008:AWL852017 AMP852008:AMP852017 ACT852008:ACT852017 SX852008:SX852017 JB852008:JB852017 F852008:F852017 WVN786472:WVN786481 WLR786472:WLR786481 WBV786472:WBV786481 VRZ786472:VRZ786481 VID786472:VID786481 UYH786472:UYH786481 UOL786472:UOL786481 UEP786472:UEP786481 TUT786472:TUT786481 TKX786472:TKX786481 TBB786472:TBB786481 SRF786472:SRF786481 SHJ786472:SHJ786481 RXN786472:RXN786481 RNR786472:RNR786481 RDV786472:RDV786481 QTZ786472:QTZ786481 QKD786472:QKD786481 QAH786472:QAH786481 PQL786472:PQL786481 PGP786472:PGP786481 OWT786472:OWT786481 OMX786472:OMX786481 ODB786472:ODB786481 NTF786472:NTF786481 NJJ786472:NJJ786481 MZN786472:MZN786481 MPR786472:MPR786481 MFV786472:MFV786481 LVZ786472:LVZ786481 LMD786472:LMD786481 LCH786472:LCH786481 KSL786472:KSL786481 KIP786472:KIP786481 JYT786472:JYT786481 JOX786472:JOX786481 JFB786472:JFB786481 IVF786472:IVF786481 ILJ786472:ILJ786481 IBN786472:IBN786481 HRR786472:HRR786481 HHV786472:HHV786481 GXZ786472:GXZ786481 GOD786472:GOD786481 GEH786472:GEH786481 FUL786472:FUL786481 FKP786472:FKP786481 FAT786472:FAT786481 EQX786472:EQX786481 EHB786472:EHB786481 DXF786472:DXF786481 DNJ786472:DNJ786481 DDN786472:DDN786481 CTR786472:CTR786481 CJV786472:CJV786481 BZZ786472:BZZ786481 BQD786472:BQD786481 BGH786472:BGH786481 AWL786472:AWL786481 AMP786472:AMP786481 ACT786472:ACT786481 SX786472:SX786481 JB786472:JB786481 F786472:F786481 WVN720936:WVN720945 WLR720936:WLR720945 WBV720936:WBV720945 VRZ720936:VRZ720945 VID720936:VID720945 UYH720936:UYH720945 UOL720936:UOL720945 UEP720936:UEP720945 TUT720936:TUT720945 TKX720936:TKX720945 TBB720936:TBB720945 SRF720936:SRF720945 SHJ720936:SHJ720945 RXN720936:RXN720945 RNR720936:RNR720945 RDV720936:RDV720945 QTZ720936:QTZ720945 QKD720936:QKD720945 QAH720936:QAH720945 PQL720936:PQL720945 PGP720936:PGP720945 OWT720936:OWT720945 OMX720936:OMX720945 ODB720936:ODB720945 NTF720936:NTF720945 NJJ720936:NJJ720945 MZN720936:MZN720945 MPR720936:MPR720945 MFV720936:MFV720945 LVZ720936:LVZ720945 LMD720936:LMD720945 LCH720936:LCH720945 KSL720936:KSL720945 KIP720936:KIP720945 JYT720936:JYT720945 JOX720936:JOX720945 JFB720936:JFB720945 IVF720936:IVF720945 ILJ720936:ILJ720945 IBN720936:IBN720945 HRR720936:HRR720945 HHV720936:HHV720945 GXZ720936:GXZ720945 GOD720936:GOD720945 GEH720936:GEH720945 FUL720936:FUL720945 FKP720936:FKP720945 FAT720936:FAT720945 EQX720936:EQX720945 EHB720936:EHB720945 DXF720936:DXF720945 DNJ720936:DNJ720945 DDN720936:DDN720945 CTR720936:CTR720945 CJV720936:CJV720945 BZZ720936:BZZ720945 BQD720936:BQD720945 BGH720936:BGH720945 AWL720936:AWL720945 AMP720936:AMP720945 ACT720936:ACT720945 SX720936:SX720945 JB720936:JB720945 F720936:F720945 WVN655400:WVN655409 WLR655400:WLR655409 WBV655400:WBV655409 VRZ655400:VRZ655409 VID655400:VID655409 UYH655400:UYH655409 UOL655400:UOL655409 UEP655400:UEP655409 TUT655400:TUT655409 TKX655400:TKX655409 TBB655400:TBB655409 SRF655400:SRF655409 SHJ655400:SHJ655409 RXN655400:RXN655409 RNR655400:RNR655409 RDV655400:RDV655409 QTZ655400:QTZ655409 QKD655400:QKD655409 QAH655400:QAH655409 PQL655400:PQL655409 PGP655400:PGP655409 OWT655400:OWT655409 OMX655400:OMX655409 ODB655400:ODB655409 NTF655400:NTF655409 NJJ655400:NJJ655409 MZN655400:MZN655409 MPR655400:MPR655409 MFV655400:MFV655409 LVZ655400:LVZ655409 LMD655400:LMD655409 LCH655400:LCH655409 KSL655400:KSL655409 KIP655400:KIP655409 JYT655400:JYT655409 JOX655400:JOX655409 JFB655400:JFB655409 IVF655400:IVF655409 ILJ655400:ILJ655409 IBN655400:IBN655409 HRR655400:HRR655409 HHV655400:HHV655409 GXZ655400:GXZ655409 GOD655400:GOD655409 GEH655400:GEH655409 FUL655400:FUL655409 FKP655400:FKP655409 FAT655400:FAT655409 EQX655400:EQX655409 EHB655400:EHB655409 DXF655400:DXF655409 DNJ655400:DNJ655409 DDN655400:DDN655409 CTR655400:CTR655409 CJV655400:CJV655409 BZZ655400:BZZ655409 BQD655400:BQD655409 BGH655400:BGH655409 AWL655400:AWL655409 AMP655400:AMP655409 ACT655400:ACT655409 SX655400:SX655409 JB655400:JB655409 F655400:F655409 WVN589864:WVN589873 WLR589864:WLR589873 WBV589864:WBV589873 VRZ589864:VRZ589873 VID589864:VID589873 UYH589864:UYH589873 UOL589864:UOL589873 UEP589864:UEP589873 TUT589864:TUT589873 TKX589864:TKX589873 TBB589864:TBB589873 SRF589864:SRF589873 SHJ589864:SHJ589873 RXN589864:RXN589873 RNR589864:RNR589873 RDV589864:RDV589873 QTZ589864:QTZ589873 QKD589864:QKD589873 QAH589864:QAH589873 PQL589864:PQL589873 PGP589864:PGP589873 OWT589864:OWT589873 OMX589864:OMX589873 ODB589864:ODB589873 NTF589864:NTF589873 NJJ589864:NJJ589873 MZN589864:MZN589873 MPR589864:MPR589873 MFV589864:MFV589873 LVZ589864:LVZ589873 LMD589864:LMD589873 LCH589864:LCH589873 KSL589864:KSL589873 KIP589864:KIP589873 JYT589864:JYT589873 JOX589864:JOX589873 JFB589864:JFB589873 IVF589864:IVF589873 ILJ589864:ILJ589873 IBN589864:IBN589873 HRR589864:HRR589873 HHV589864:HHV589873 GXZ589864:GXZ589873 GOD589864:GOD589873 GEH589864:GEH589873 FUL589864:FUL589873 FKP589864:FKP589873 FAT589864:FAT589873 EQX589864:EQX589873 EHB589864:EHB589873 DXF589864:DXF589873 DNJ589864:DNJ589873 DDN589864:DDN589873 CTR589864:CTR589873 CJV589864:CJV589873 BZZ589864:BZZ589873 BQD589864:BQD589873 BGH589864:BGH589873 AWL589864:AWL589873 AMP589864:AMP589873 ACT589864:ACT589873 SX589864:SX589873 JB589864:JB589873 F589864:F589873 WVN524328:WVN524337 WLR524328:WLR524337 WBV524328:WBV524337 VRZ524328:VRZ524337 VID524328:VID524337 UYH524328:UYH524337 UOL524328:UOL524337 UEP524328:UEP524337 TUT524328:TUT524337 TKX524328:TKX524337 TBB524328:TBB524337 SRF524328:SRF524337 SHJ524328:SHJ524337 RXN524328:RXN524337 RNR524328:RNR524337 RDV524328:RDV524337 QTZ524328:QTZ524337 QKD524328:QKD524337 QAH524328:QAH524337 PQL524328:PQL524337 PGP524328:PGP524337 OWT524328:OWT524337 OMX524328:OMX524337 ODB524328:ODB524337 NTF524328:NTF524337 NJJ524328:NJJ524337 MZN524328:MZN524337 MPR524328:MPR524337 MFV524328:MFV524337 LVZ524328:LVZ524337 LMD524328:LMD524337 LCH524328:LCH524337 KSL524328:KSL524337 KIP524328:KIP524337 JYT524328:JYT524337 JOX524328:JOX524337 JFB524328:JFB524337 IVF524328:IVF524337 ILJ524328:ILJ524337 IBN524328:IBN524337 HRR524328:HRR524337 HHV524328:HHV524337 GXZ524328:GXZ524337 GOD524328:GOD524337 GEH524328:GEH524337 FUL524328:FUL524337 FKP524328:FKP524337 FAT524328:FAT524337 EQX524328:EQX524337 EHB524328:EHB524337 DXF524328:DXF524337 DNJ524328:DNJ524337 DDN524328:DDN524337 CTR524328:CTR524337 CJV524328:CJV524337 BZZ524328:BZZ524337 BQD524328:BQD524337 BGH524328:BGH524337 AWL524328:AWL524337 AMP524328:AMP524337 ACT524328:ACT524337 SX524328:SX524337 JB524328:JB524337 F524328:F524337 WVN458792:WVN458801 WLR458792:WLR458801 WBV458792:WBV458801 VRZ458792:VRZ458801 VID458792:VID458801 UYH458792:UYH458801 UOL458792:UOL458801 UEP458792:UEP458801 TUT458792:TUT458801 TKX458792:TKX458801 TBB458792:TBB458801 SRF458792:SRF458801 SHJ458792:SHJ458801 RXN458792:RXN458801 RNR458792:RNR458801 RDV458792:RDV458801 QTZ458792:QTZ458801 QKD458792:QKD458801 QAH458792:QAH458801 PQL458792:PQL458801 PGP458792:PGP458801 OWT458792:OWT458801 OMX458792:OMX458801 ODB458792:ODB458801 NTF458792:NTF458801 NJJ458792:NJJ458801 MZN458792:MZN458801 MPR458792:MPR458801 MFV458792:MFV458801 LVZ458792:LVZ458801 LMD458792:LMD458801 LCH458792:LCH458801 KSL458792:KSL458801 KIP458792:KIP458801 JYT458792:JYT458801 JOX458792:JOX458801 JFB458792:JFB458801 IVF458792:IVF458801 ILJ458792:ILJ458801 IBN458792:IBN458801 HRR458792:HRR458801 HHV458792:HHV458801 GXZ458792:GXZ458801 GOD458792:GOD458801 GEH458792:GEH458801 FUL458792:FUL458801 FKP458792:FKP458801 FAT458792:FAT458801 EQX458792:EQX458801 EHB458792:EHB458801 DXF458792:DXF458801 DNJ458792:DNJ458801 DDN458792:DDN458801 CTR458792:CTR458801 CJV458792:CJV458801 BZZ458792:BZZ458801 BQD458792:BQD458801 BGH458792:BGH458801 AWL458792:AWL458801 AMP458792:AMP458801 ACT458792:ACT458801 SX458792:SX458801 JB458792:JB458801 F458792:F458801 WVN393256:WVN393265 WLR393256:WLR393265 WBV393256:WBV393265 VRZ393256:VRZ393265 VID393256:VID393265 UYH393256:UYH393265 UOL393256:UOL393265 UEP393256:UEP393265 TUT393256:TUT393265 TKX393256:TKX393265 TBB393256:TBB393265 SRF393256:SRF393265 SHJ393256:SHJ393265 RXN393256:RXN393265 RNR393256:RNR393265 RDV393256:RDV393265 QTZ393256:QTZ393265 QKD393256:QKD393265 QAH393256:QAH393265 PQL393256:PQL393265 PGP393256:PGP393265 OWT393256:OWT393265 OMX393256:OMX393265 ODB393256:ODB393265 NTF393256:NTF393265 NJJ393256:NJJ393265 MZN393256:MZN393265 MPR393256:MPR393265 MFV393256:MFV393265 LVZ393256:LVZ393265 LMD393256:LMD393265 LCH393256:LCH393265 KSL393256:KSL393265 KIP393256:KIP393265 JYT393256:JYT393265 JOX393256:JOX393265 JFB393256:JFB393265 IVF393256:IVF393265 ILJ393256:ILJ393265 IBN393256:IBN393265 HRR393256:HRR393265 HHV393256:HHV393265 GXZ393256:GXZ393265 GOD393256:GOD393265 GEH393256:GEH393265 FUL393256:FUL393265 FKP393256:FKP393265 FAT393256:FAT393265 EQX393256:EQX393265 EHB393256:EHB393265 DXF393256:DXF393265 DNJ393256:DNJ393265 DDN393256:DDN393265 CTR393256:CTR393265 CJV393256:CJV393265 BZZ393256:BZZ393265 BQD393256:BQD393265 BGH393256:BGH393265 AWL393256:AWL393265 AMP393256:AMP393265 ACT393256:ACT393265 SX393256:SX393265 JB393256:JB393265 F393256:F393265 WVN327720:WVN327729 WLR327720:WLR327729 WBV327720:WBV327729 VRZ327720:VRZ327729 VID327720:VID327729 UYH327720:UYH327729 UOL327720:UOL327729 UEP327720:UEP327729 TUT327720:TUT327729 TKX327720:TKX327729 TBB327720:TBB327729 SRF327720:SRF327729 SHJ327720:SHJ327729 RXN327720:RXN327729 RNR327720:RNR327729 RDV327720:RDV327729 QTZ327720:QTZ327729 QKD327720:QKD327729 QAH327720:QAH327729 PQL327720:PQL327729 PGP327720:PGP327729 OWT327720:OWT327729 OMX327720:OMX327729 ODB327720:ODB327729 NTF327720:NTF327729 NJJ327720:NJJ327729 MZN327720:MZN327729 MPR327720:MPR327729 MFV327720:MFV327729 LVZ327720:LVZ327729 LMD327720:LMD327729 LCH327720:LCH327729 KSL327720:KSL327729 KIP327720:KIP327729 JYT327720:JYT327729 JOX327720:JOX327729 JFB327720:JFB327729 IVF327720:IVF327729 ILJ327720:ILJ327729 IBN327720:IBN327729 HRR327720:HRR327729 HHV327720:HHV327729 GXZ327720:GXZ327729 GOD327720:GOD327729 GEH327720:GEH327729 FUL327720:FUL327729 FKP327720:FKP327729 FAT327720:FAT327729 EQX327720:EQX327729 EHB327720:EHB327729 DXF327720:DXF327729 DNJ327720:DNJ327729 DDN327720:DDN327729 CTR327720:CTR327729 CJV327720:CJV327729 BZZ327720:BZZ327729 BQD327720:BQD327729 BGH327720:BGH327729 AWL327720:AWL327729 AMP327720:AMP327729 ACT327720:ACT327729 SX327720:SX327729 JB327720:JB327729 F327720:F327729 WVN262184:WVN262193 WLR262184:WLR262193 WBV262184:WBV262193 VRZ262184:VRZ262193 VID262184:VID262193 UYH262184:UYH262193 UOL262184:UOL262193 UEP262184:UEP262193 TUT262184:TUT262193 TKX262184:TKX262193 TBB262184:TBB262193 SRF262184:SRF262193 SHJ262184:SHJ262193 RXN262184:RXN262193 RNR262184:RNR262193 RDV262184:RDV262193 QTZ262184:QTZ262193 QKD262184:QKD262193 QAH262184:QAH262193 PQL262184:PQL262193 PGP262184:PGP262193 OWT262184:OWT262193 OMX262184:OMX262193 ODB262184:ODB262193 NTF262184:NTF262193 NJJ262184:NJJ262193 MZN262184:MZN262193 MPR262184:MPR262193 MFV262184:MFV262193 LVZ262184:LVZ262193 LMD262184:LMD262193 LCH262184:LCH262193 KSL262184:KSL262193 KIP262184:KIP262193 JYT262184:JYT262193 JOX262184:JOX262193 JFB262184:JFB262193 IVF262184:IVF262193 ILJ262184:ILJ262193 IBN262184:IBN262193 HRR262184:HRR262193 HHV262184:HHV262193 GXZ262184:GXZ262193 GOD262184:GOD262193 GEH262184:GEH262193 FUL262184:FUL262193 FKP262184:FKP262193 FAT262184:FAT262193 EQX262184:EQX262193 EHB262184:EHB262193 DXF262184:DXF262193 DNJ262184:DNJ262193 DDN262184:DDN262193 CTR262184:CTR262193 CJV262184:CJV262193 BZZ262184:BZZ262193 BQD262184:BQD262193 BGH262184:BGH262193 AWL262184:AWL262193 AMP262184:AMP262193 ACT262184:ACT262193 SX262184:SX262193 JB262184:JB262193 F262184:F262193 WVN196648:WVN196657 WLR196648:WLR196657 WBV196648:WBV196657 VRZ196648:VRZ196657 VID196648:VID196657 UYH196648:UYH196657 UOL196648:UOL196657 UEP196648:UEP196657 TUT196648:TUT196657 TKX196648:TKX196657 TBB196648:TBB196657 SRF196648:SRF196657 SHJ196648:SHJ196657 RXN196648:RXN196657 RNR196648:RNR196657 RDV196648:RDV196657 QTZ196648:QTZ196657 QKD196648:QKD196657 QAH196648:QAH196657 PQL196648:PQL196657 PGP196648:PGP196657 OWT196648:OWT196657 OMX196648:OMX196657 ODB196648:ODB196657 NTF196648:NTF196657 NJJ196648:NJJ196657 MZN196648:MZN196657 MPR196648:MPR196657 MFV196648:MFV196657 LVZ196648:LVZ196657 LMD196648:LMD196657 LCH196648:LCH196657 KSL196648:KSL196657 KIP196648:KIP196657 JYT196648:JYT196657 JOX196648:JOX196657 JFB196648:JFB196657 IVF196648:IVF196657 ILJ196648:ILJ196657 IBN196648:IBN196657 HRR196648:HRR196657 HHV196648:HHV196657 GXZ196648:GXZ196657 GOD196648:GOD196657 GEH196648:GEH196657 FUL196648:FUL196657 FKP196648:FKP196657 FAT196648:FAT196657 EQX196648:EQX196657 EHB196648:EHB196657 DXF196648:DXF196657 DNJ196648:DNJ196657 DDN196648:DDN196657 CTR196648:CTR196657 CJV196648:CJV196657 BZZ196648:BZZ196657 BQD196648:BQD196657 BGH196648:BGH196657 AWL196648:AWL196657 AMP196648:AMP196657 ACT196648:ACT196657 SX196648:SX196657 JB196648:JB196657 F196648:F196657 WVN131112:WVN131121 WLR131112:WLR131121 WBV131112:WBV131121 VRZ131112:VRZ131121 VID131112:VID131121 UYH131112:UYH131121 UOL131112:UOL131121 UEP131112:UEP131121 TUT131112:TUT131121 TKX131112:TKX131121 TBB131112:TBB131121 SRF131112:SRF131121 SHJ131112:SHJ131121 RXN131112:RXN131121 RNR131112:RNR131121 RDV131112:RDV131121 QTZ131112:QTZ131121 QKD131112:QKD131121 QAH131112:QAH131121 PQL131112:PQL131121 PGP131112:PGP131121 OWT131112:OWT131121 OMX131112:OMX131121 ODB131112:ODB131121 NTF131112:NTF131121 NJJ131112:NJJ131121 MZN131112:MZN131121 MPR131112:MPR131121 MFV131112:MFV131121 LVZ131112:LVZ131121 LMD131112:LMD131121 LCH131112:LCH131121 KSL131112:KSL131121 KIP131112:KIP131121 JYT131112:JYT131121 JOX131112:JOX131121 JFB131112:JFB131121 IVF131112:IVF131121 ILJ131112:ILJ131121 IBN131112:IBN131121 HRR131112:HRR131121 HHV131112:HHV131121 GXZ131112:GXZ131121 GOD131112:GOD131121 GEH131112:GEH131121 FUL131112:FUL131121 FKP131112:FKP131121 FAT131112:FAT131121 EQX131112:EQX131121 EHB131112:EHB131121 DXF131112:DXF131121 DNJ131112:DNJ131121 DDN131112:DDN131121 CTR131112:CTR131121 CJV131112:CJV131121 BZZ131112:BZZ131121 BQD131112:BQD131121 BGH131112:BGH131121 AWL131112:AWL131121 AMP131112:AMP131121 ACT131112:ACT131121 SX131112:SX131121 JB131112:JB131121 F131112:F131121 WVN65576:WVN65585 WLR65576:WLR65585 WBV65576:WBV65585 VRZ65576:VRZ65585 VID65576:VID65585 UYH65576:UYH65585 UOL65576:UOL65585 UEP65576:UEP65585 TUT65576:TUT65585 TKX65576:TKX65585 TBB65576:TBB65585 SRF65576:SRF65585 SHJ65576:SHJ65585 RXN65576:RXN65585 RNR65576:RNR65585 RDV65576:RDV65585 QTZ65576:QTZ65585 QKD65576:QKD65585 QAH65576:QAH65585 PQL65576:PQL65585 PGP65576:PGP65585 OWT65576:OWT65585 OMX65576:OMX65585 ODB65576:ODB65585 NTF65576:NTF65585 NJJ65576:NJJ65585 MZN65576:MZN65585 MPR65576:MPR65585 MFV65576:MFV65585 LVZ65576:LVZ65585 LMD65576:LMD65585 LCH65576:LCH65585 KSL65576:KSL65585 KIP65576:KIP65585 JYT65576:JYT65585 JOX65576:JOX65585 JFB65576:JFB65585 IVF65576:IVF65585 ILJ65576:ILJ65585 IBN65576:IBN65585 HRR65576:HRR65585 HHV65576:HHV65585 GXZ65576:GXZ65585 GOD65576:GOD65585 GEH65576:GEH65585 FUL65576:FUL65585 FKP65576:FKP65585 FAT65576:FAT65585 EQX65576:EQX65585 EHB65576:EHB65585 DXF65576:DXF65585 DNJ65576:DNJ65585 DDN65576:DDN65585 CTR65576:CTR65585 CJV65576:CJV65585 BZZ65576:BZZ65585 BQD65576:BQD65585 BGH65576:BGH65585 AWL65576:AWL65585 AMP65576:AMP65585 ACT65576:ACT65585 SX65576:SX65585 JB65576:JB65585 F65576:F65585 WVN40:WVN49 WLR40:WLR49 WBV40:WBV49 VRZ40:VRZ49 VID40:VID49 UYH40:UYH49 UOL40:UOL49 UEP40:UEP49 TUT40:TUT49 TKX40:TKX49 TBB40:TBB49 SRF40:SRF49 SHJ40:SHJ49 RXN40:RXN49 RNR40:RNR49 RDV40:RDV49 QTZ40:QTZ49 QKD40:QKD49 QAH40:QAH49 PQL40:PQL49 PGP40:PGP49 OWT40:OWT49 OMX40:OMX49 ODB40:ODB49 NTF40:NTF49 NJJ40:NJJ49 MZN40:MZN49 MPR40:MPR49 MFV40:MFV49 LVZ40:LVZ49 LMD40:LMD49 LCH40:LCH49 KSL40:KSL49 KIP40:KIP49 JYT40:JYT49 JOX40:JOX49 JFB40:JFB49 IVF40:IVF49 ILJ40:ILJ49 IBN40:IBN49 HRR40:HRR49 HHV40:HHV49 GXZ40:GXZ49 GOD40:GOD49 GEH40:GEH49 FUL40:FUL49 FKP40:FKP49 FAT40:FAT49 EQX40:EQX49 EHB40:EHB49 DXF40:DXF49 DNJ40:DNJ49 DDN40:DDN49 CTR40:CTR49 CJV40:CJV49 BZZ40:BZZ49 BQD40:BQD49 BGH40:BGH49 AWL40:AWL49 AMP40:AMP49 ACT40:ACT49 SX40:SX49 JB40:JB49">
      <formula1>EffortType</formula1>
    </dataValidation>
    <dataValidation type="list" allowBlank="1" showInputMessage="1" showErrorMessage="1" sqref="E28 WVM983068 WLQ983068 WBU983068 VRY983068 VIC983068 UYG983068 UOK983068 UEO983068 TUS983068 TKW983068 TBA983068 SRE983068 SHI983068 RXM983068 RNQ983068 RDU983068 QTY983068 QKC983068 QAG983068 PQK983068 PGO983068 OWS983068 OMW983068 ODA983068 NTE983068 NJI983068 MZM983068 MPQ983068 MFU983068 LVY983068 LMC983068 LCG983068 KSK983068 KIO983068 JYS983068 JOW983068 JFA983068 IVE983068 ILI983068 IBM983068 HRQ983068 HHU983068 GXY983068 GOC983068 GEG983068 FUK983068 FKO983068 FAS983068 EQW983068 EHA983068 DXE983068 DNI983068 DDM983068 CTQ983068 CJU983068 BZY983068 BQC983068 BGG983068 AWK983068 AMO983068 ACS983068 SW983068 JA983068 E983068 WVM917532 WLQ917532 WBU917532 VRY917532 VIC917532 UYG917532 UOK917532 UEO917532 TUS917532 TKW917532 TBA917532 SRE917532 SHI917532 RXM917532 RNQ917532 RDU917532 QTY917532 QKC917532 QAG917532 PQK917532 PGO917532 OWS917532 OMW917532 ODA917532 NTE917532 NJI917532 MZM917532 MPQ917532 MFU917532 LVY917532 LMC917532 LCG917532 KSK917532 KIO917532 JYS917532 JOW917532 JFA917532 IVE917532 ILI917532 IBM917532 HRQ917532 HHU917532 GXY917532 GOC917532 GEG917532 FUK917532 FKO917532 FAS917532 EQW917532 EHA917532 DXE917532 DNI917532 DDM917532 CTQ917532 CJU917532 BZY917532 BQC917532 BGG917532 AWK917532 AMO917532 ACS917532 SW917532 JA917532 E917532 WVM851996 WLQ851996 WBU851996 VRY851996 VIC851996 UYG851996 UOK851996 UEO851996 TUS851996 TKW851996 TBA851996 SRE851996 SHI851996 RXM851996 RNQ851996 RDU851996 QTY851996 QKC851996 QAG851996 PQK851996 PGO851996 OWS851996 OMW851996 ODA851996 NTE851996 NJI851996 MZM851996 MPQ851996 MFU851996 LVY851996 LMC851996 LCG851996 KSK851996 KIO851996 JYS851996 JOW851996 JFA851996 IVE851996 ILI851996 IBM851996 HRQ851996 HHU851996 GXY851996 GOC851996 GEG851996 FUK851996 FKO851996 FAS851996 EQW851996 EHA851996 DXE851996 DNI851996 DDM851996 CTQ851996 CJU851996 BZY851996 BQC851996 BGG851996 AWK851996 AMO851996 ACS851996 SW851996 JA851996 E851996 WVM786460 WLQ786460 WBU786460 VRY786460 VIC786460 UYG786460 UOK786460 UEO786460 TUS786460 TKW786460 TBA786460 SRE786460 SHI786460 RXM786460 RNQ786460 RDU786460 QTY786460 QKC786460 QAG786460 PQK786460 PGO786460 OWS786460 OMW786460 ODA786460 NTE786460 NJI786460 MZM786460 MPQ786460 MFU786460 LVY786460 LMC786460 LCG786460 KSK786460 KIO786460 JYS786460 JOW786460 JFA786460 IVE786460 ILI786460 IBM786460 HRQ786460 HHU786460 GXY786460 GOC786460 GEG786460 FUK786460 FKO786460 FAS786460 EQW786460 EHA786460 DXE786460 DNI786460 DDM786460 CTQ786460 CJU786460 BZY786460 BQC786460 BGG786460 AWK786460 AMO786460 ACS786460 SW786460 JA786460 E786460 WVM720924 WLQ720924 WBU720924 VRY720924 VIC720924 UYG720924 UOK720924 UEO720924 TUS720924 TKW720924 TBA720924 SRE720924 SHI720924 RXM720924 RNQ720924 RDU720924 QTY720924 QKC720924 QAG720924 PQK720924 PGO720924 OWS720924 OMW720924 ODA720924 NTE720924 NJI720924 MZM720924 MPQ720924 MFU720924 LVY720924 LMC720924 LCG720924 KSK720924 KIO720924 JYS720924 JOW720924 JFA720924 IVE720924 ILI720924 IBM720924 HRQ720924 HHU720924 GXY720924 GOC720924 GEG720924 FUK720924 FKO720924 FAS720924 EQW720924 EHA720924 DXE720924 DNI720924 DDM720924 CTQ720924 CJU720924 BZY720924 BQC720924 BGG720924 AWK720924 AMO720924 ACS720924 SW720924 JA720924 E720924 WVM655388 WLQ655388 WBU655388 VRY655388 VIC655388 UYG655388 UOK655388 UEO655388 TUS655388 TKW655388 TBA655388 SRE655388 SHI655388 RXM655388 RNQ655388 RDU655388 QTY655388 QKC655388 QAG655388 PQK655388 PGO655388 OWS655388 OMW655388 ODA655388 NTE655388 NJI655388 MZM655388 MPQ655388 MFU655388 LVY655388 LMC655388 LCG655388 KSK655388 KIO655388 JYS655388 JOW655388 JFA655388 IVE655388 ILI655388 IBM655388 HRQ655388 HHU655388 GXY655388 GOC655388 GEG655388 FUK655388 FKO655388 FAS655388 EQW655388 EHA655388 DXE655388 DNI655388 DDM655388 CTQ655388 CJU655388 BZY655388 BQC655388 BGG655388 AWK655388 AMO655388 ACS655388 SW655388 JA655388 E655388 WVM589852 WLQ589852 WBU589852 VRY589852 VIC589852 UYG589852 UOK589852 UEO589852 TUS589852 TKW589852 TBA589852 SRE589852 SHI589852 RXM589852 RNQ589852 RDU589852 QTY589852 QKC589852 QAG589852 PQK589852 PGO589852 OWS589852 OMW589852 ODA589852 NTE589852 NJI589852 MZM589852 MPQ589852 MFU589852 LVY589852 LMC589852 LCG589852 KSK589852 KIO589852 JYS589852 JOW589852 JFA589852 IVE589852 ILI589852 IBM589852 HRQ589852 HHU589852 GXY589852 GOC589852 GEG589852 FUK589852 FKO589852 FAS589852 EQW589852 EHA589852 DXE589852 DNI589852 DDM589852 CTQ589852 CJU589852 BZY589852 BQC589852 BGG589852 AWK589852 AMO589852 ACS589852 SW589852 JA589852 E589852 WVM524316 WLQ524316 WBU524316 VRY524316 VIC524316 UYG524316 UOK524316 UEO524316 TUS524316 TKW524316 TBA524316 SRE524316 SHI524316 RXM524316 RNQ524316 RDU524316 QTY524316 QKC524316 QAG524316 PQK524316 PGO524316 OWS524316 OMW524316 ODA524316 NTE524316 NJI524316 MZM524316 MPQ524316 MFU524316 LVY524316 LMC524316 LCG524316 KSK524316 KIO524316 JYS524316 JOW524316 JFA524316 IVE524316 ILI524316 IBM524316 HRQ524316 HHU524316 GXY524316 GOC524316 GEG524316 FUK524316 FKO524316 FAS524316 EQW524316 EHA524316 DXE524316 DNI524316 DDM524316 CTQ524316 CJU524316 BZY524316 BQC524316 BGG524316 AWK524316 AMO524316 ACS524316 SW524316 JA524316 E524316 WVM458780 WLQ458780 WBU458780 VRY458780 VIC458780 UYG458780 UOK458780 UEO458780 TUS458780 TKW458780 TBA458780 SRE458780 SHI458780 RXM458780 RNQ458780 RDU458780 QTY458780 QKC458780 QAG458780 PQK458780 PGO458780 OWS458780 OMW458780 ODA458780 NTE458780 NJI458780 MZM458780 MPQ458780 MFU458780 LVY458780 LMC458780 LCG458780 KSK458780 KIO458780 JYS458780 JOW458780 JFA458780 IVE458780 ILI458780 IBM458780 HRQ458780 HHU458780 GXY458780 GOC458780 GEG458780 FUK458780 FKO458780 FAS458780 EQW458780 EHA458780 DXE458780 DNI458780 DDM458780 CTQ458780 CJU458780 BZY458780 BQC458780 BGG458780 AWK458780 AMO458780 ACS458780 SW458780 JA458780 E458780 WVM393244 WLQ393244 WBU393244 VRY393244 VIC393244 UYG393244 UOK393244 UEO393244 TUS393244 TKW393244 TBA393244 SRE393244 SHI393244 RXM393244 RNQ393244 RDU393244 QTY393244 QKC393244 QAG393244 PQK393244 PGO393244 OWS393244 OMW393244 ODA393244 NTE393244 NJI393244 MZM393244 MPQ393244 MFU393244 LVY393244 LMC393244 LCG393244 KSK393244 KIO393244 JYS393244 JOW393244 JFA393244 IVE393244 ILI393244 IBM393244 HRQ393244 HHU393244 GXY393244 GOC393244 GEG393244 FUK393244 FKO393244 FAS393244 EQW393244 EHA393244 DXE393244 DNI393244 DDM393244 CTQ393244 CJU393244 BZY393244 BQC393244 BGG393244 AWK393244 AMO393244 ACS393244 SW393244 JA393244 E393244 WVM327708 WLQ327708 WBU327708 VRY327708 VIC327708 UYG327708 UOK327708 UEO327708 TUS327708 TKW327708 TBA327708 SRE327708 SHI327708 RXM327708 RNQ327708 RDU327708 QTY327708 QKC327708 QAG327708 PQK327708 PGO327708 OWS327708 OMW327708 ODA327708 NTE327708 NJI327708 MZM327708 MPQ327708 MFU327708 LVY327708 LMC327708 LCG327708 KSK327708 KIO327708 JYS327708 JOW327708 JFA327708 IVE327708 ILI327708 IBM327708 HRQ327708 HHU327708 GXY327708 GOC327708 GEG327708 FUK327708 FKO327708 FAS327708 EQW327708 EHA327708 DXE327708 DNI327708 DDM327708 CTQ327708 CJU327708 BZY327708 BQC327708 BGG327708 AWK327708 AMO327708 ACS327708 SW327708 JA327708 E327708 WVM262172 WLQ262172 WBU262172 VRY262172 VIC262172 UYG262172 UOK262172 UEO262172 TUS262172 TKW262172 TBA262172 SRE262172 SHI262172 RXM262172 RNQ262172 RDU262172 QTY262172 QKC262172 QAG262172 PQK262172 PGO262172 OWS262172 OMW262172 ODA262172 NTE262172 NJI262172 MZM262172 MPQ262172 MFU262172 LVY262172 LMC262172 LCG262172 KSK262172 KIO262172 JYS262172 JOW262172 JFA262172 IVE262172 ILI262172 IBM262172 HRQ262172 HHU262172 GXY262172 GOC262172 GEG262172 FUK262172 FKO262172 FAS262172 EQW262172 EHA262172 DXE262172 DNI262172 DDM262172 CTQ262172 CJU262172 BZY262172 BQC262172 BGG262172 AWK262172 AMO262172 ACS262172 SW262172 JA262172 E262172 WVM196636 WLQ196636 WBU196636 VRY196636 VIC196636 UYG196636 UOK196636 UEO196636 TUS196636 TKW196636 TBA196636 SRE196636 SHI196636 RXM196636 RNQ196636 RDU196636 QTY196636 QKC196636 QAG196636 PQK196636 PGO196636 OWS196636 OMW196636 ODA196636 NTE196636 NJI196636 MZM196636 MPQ196636 MFU196636 LVY196636 LMC196636 LCG196636 KSK196636 KIO196636 JYS196636 JOW196636 JFA196636 IVE196636 ILI196636 IBM196636 HRQ196636 HHU196636 GXY196636 GOC196636 GEG196636 FUK196636 FKO196636 FAS196636 EQW196636 EHA196636 DXE196636 DNI196636 DDM196636 CTQ196636 CJU196636 BZY196636 BQC196636 BGG196636 AWK196636 AMO196636 ACS196636 SW196636 JA196636 E196636 WVM131100 WLQ131100 WBU131100 VRY131100 VIC131100 UYG131100 UOK131100 UEO131100 TUS131100 TKW131100 TBA131100 SRE131100 SHI131100 RXM131100 RNQ131100 RDU131100 QTY131100 QKC131100 QAG131100 PQK131100 PGO131100 OWS131100 OMW131100 ODA131100 NTE131100 NJI131100 MZM131100 MPQ131100 MFU131100 LVY131100 LMC131100 LCG131100 KSK131100 KIO131100 JYS131100 JOW131100 JFA131100 IVE131100 ILI131100 IBM131100 HRQ131100 HHU131100 GXY131100 GOC131100 GEG131100 FUK131100 FKO131100 FAS131100 EQW131100 EHA131100 DXE131100 DNI131100 DDM131100 CTQ131100 CJU131100 BZY131100 BQC131100 BGG131100 AWK131100 AMO131100 ACS131100 SW131100 JA131100 E131100 WVM65564 WLQ65564 WBU65564 VRY65564 VIC65564 UYG65564 UOK65564 UEO65564 TUS65564 TKW65564 TBA65564 SRE65564 SHI65564 RXM65564 RNQ65564 RDU65564 QTY65564 QKC65564 QAG65564 PQK65564 PGO65564 OWS65564 OMW65564 ODA65564 NTE65564 NJI65564 MZM65564 MPQ65564 MFU65564 LVY65564 LMC65564 LCG65564 KSK65564 KIO65564 JYS65564 JOW65564 JFA65564 IVE65564 ILI65564 IBM65564 HRQ65564 HHU65564 GXY65564 GOC65564 GEG65564 FUK65564 FKO65564 FAS65564 EQW65564 EHA65564 DXE65564 DNI65564 DDM65564 CTQ65564 CJU65564 BZY65564 BQC65564 BGG65564 AWK65564 AMO65564 ACS65564 SW65564 JA65564 E65564 WVM28 WLQ28 WBU28 VRY28 VIC28 UYG28 UOK28 UEO28 TUS28 TKW28 TBA28 SRE28 SHI28 RXM28 RNQ28 RDU28 QTY28 QKC28 QAG28 PQK28 PGO28 OWS28 OMW28 ODA28 NTE28 NJI28 MZM28 MPQ28 MFU28 LVY28 LMC28 LCG28 KSK28 KIO28 JYS28 JOW28 JFA28 IVE28 ILI28 IBM28 HRQ28 HHU28 GXY28 GOC28 GEG28 FUK28 FKO28 FAS28 EQW28 EHA28 DXE28 DNI28 DDM28 CTQ28 CJU28 BZY28 BQC28 BGG28 AWK28 AMO28 ACS28 SW28 JA28 WWH983079 WML983079 WCP983079 VST983079 VIX983079 UZB983079 UPF983079 UFJ983079 TVN983079 TLR983079 TBV983079 SRZ983079 SID983079 RYH983079 ROL983079 REP983079 QUT983079 QKX983079 QBB983079 PRF983079 PHJ983079 OXN983079 ONR983079 ODV983079 NTZ983079 NKD983079 NAH983079 MQL983079 MGP983079 LWT983079 LMX983079 LDB983079 KTF983079 KJJ983079 JZN983079 JPR983079 JFV983079 IVZ983079 IMD983079 ICH983079 HSL983079 HIP983079 GYT983079 GOX983079 GFB983079 FVF983079 FLJ983079 FBN983079 ERR983079 EHV983079 DXZ983079 DOD983079 DEH983079 CUL983079 CKP983079 CAT983079 BQX983079 BHB983079 AXF983079 ANJ983079 ADN983079 TR983079 JV983079 Z983079 WWH917543 WML917543 WCP917543 VST917543 VIX917543 UZB917543 UPF917543 UFJ917543 TVN917543 TLR917543 TBV917543 SRZ917543 SID917543 RYH917543 ROL917543 REP917543 QUT917543 QKX917543 QBB917543 PRF917543 PHJ917543 OXN917543 ONR917543 ODV917543 NTZ917543 NKD917543 NAH917543 MQL917543 MGP917543 LWT917543 LMX917543 LDB917543 KTF917543 KJJ917543 JZN917543 JPR917543 JFV917543 IVZ917543 IMD917543 ICH917543 HSL917543 HIP917543 GYT917543 GOX917543 GFB917543 FVF917543 FLJ917543 FBN917543 ERR917543 EHV917543 DXZ917543 DOD917543 DEH917543 CUL917543 CKP917543 CAT917543 BQX917543 BHB917543 AXF917543 ANJ917543 ADN917543 TR917543 JV917543 Z917543 WWH852007 WML852007 WCP852007 VST852007 VIX852007 UZB852007 UPF852007 UFJ852007 TVN852007 TLR852007 TBV852007 SRZ852007 SID852007 RYH852007 ROL852007 REP852007 QUT852007 QKX852007 QBB852007 PRF852007 PHJ852007 OXN852007 ONR852007 ODV852007 NTZ852007 NKD852007 NAH852007 MQL852007 MGP852007 LWT852007 LMX852007 LDB852007 KTF852007 KJJ852007 JZN852007 JPR852007 JFV852007 IVZ852007 IMD852007 ICH852007 HSL852007 HIP852007 GYT852007 GOX852007 GFB852007 FVF852007 FLJ852007 FBN852007 ERR852007 EHV852007 DXZ852007 DOD852007 DEH852007 CUL852007 CKP852007 CAT852007 BQX852007 BHB852007 AXF852007 ANJ852007 ADN852007 TR852007 JV852007 Z852007 WWH786471 WML786471 WCP786471 VST786471 VIX786471 UZB786471 UPF786471 UFJ786471 TVN786471 TLR786471 TBV786471 SRZ786471 SID786471 RYH786471 ROL786471 REP786471 QUT786471 QKX786471 QBB786471 PRF786471 PHJ786471 OXN786471 ONR786471 ODV786471 NTZ786471 NKD786471 NAH786471 MQL786471 MGP786471 LWT786471 LMX786471 LDB786471 KTF786471 KJJ786471 JZN786471 JPR786471 JFV786471 IVZ786471 IMD786471 ICH786471 HSL786471 HIP786471 GYT786471 GOX786471 GFB786471 FVF786471 FLJ786471 FBN786471 ERR786471 EHV786471 DXZ786471 DOD786471 DEH786471 CUL786471 CKP786471 CAT786471 BQX786471 BHB786471 AXF786471 ANJ786471 ADN786471 TR786471 JV786471 Z786471 WWH720935 WML720935 WCP720935 VST720935 VIX720935 UZB720935 UPF720935 UFJ720935 TVN720935 TLR720935 TBV720935 SRZ720935 SID720935 RYH720935 ROL720935 REP720935 QUT720935 QKX720935 QBB720935 PRF720935 PHJ720935 OXN720935 ONR720935 ODV720935 NTZ720935 NKD720935 NAH720935 MQL720935 MGP720935 LWT720935 LMX720935 LDB720935 KTF720935 KJJ720935 JZN720935 JPR720935 JFV720935 IVZ720935 IMD720935 ICH720935 HSL720935 HIP720935 GYT720935 GOX720935 GFB720935 FVF720935 FLJ720935 FBN720935 ERR720935 EHV720935 DXZ720935 DOD720935 DEH720935 CUL720935 CKP720935 CAT720935 BQX720935 BHB720935 AXF720935 ANJ720935 ADN720935 TR720935 JV720935 Z720935 WWH655399 WML655399 WCP655399 VST655399 VIX655399 UZB655399 UPF655399 UFJ655399 TVN655399 TLR655399 TBV655399 SRZ655399 SID655399 RYH655399 ROL655399 REP655399 QUT655399 QKX655399 QBB655399 PRF655399 PHJ655399 OXN655399 ONR655399 ODV655399 NTZ655399 NKD655399 NAH655399 MQL655399 MGP655399 LWT655399 LMX655399 LDB655399 KTF655399 KJJ655399 JZN655399 JPR655399 JFV655399 IVZ655399 IMD655399 ICH655399 HSL655399 HIP655399 GYT655399 GOX655399 GFB655399 FVF655399 FLJ655399 FBN655399 ERR655399 EHV655399 DXZ655399 DOD655399 DEH655399 CUL655399 CKP655399 CAT655399 BQX655399 BHB655399 AXF655399 ANJ655399 ADN655399 TR655399 JV655399 Z655399 WWH589863 WML589863 WCP589863 VST589863 VIX589863 UZB589863 UPF589863 UFJ589863 TVN589863 TLR589863 TBV589863 SRZ589863 SID589863 RYH589863 ROL589863 REP589863 QUT589863 QKX589863 QBB589863 PRF589863 PHJ589863 OXN589863 ONR589863 ODV589863 NTZ589863 NKD589863 NAH589863 MQL589863 MGP589863 LWT589863 LMX589863 LDB589863 KTF589863 KJJ589863 JZN589863 JPR589863 JFV589863 IVZ589863 IMD589863 ICH589863 HSL589863 HIP589863 GYT589863 GOX589863 GFB589863 FVF589863 FLJ589863 FBN589863 ERR589863 EHV589863 DXZ589863 DOD589863 DEH589863 CUL589863 CKP589863 CAT589863 BQX589863 BHB589863 AXF589863 ANJ589863 ADN589863 TR589863 JV589863 Z589863 WWH524327 WML524327 WCP524327 VST524327 VIX524327 UZB524327 UPF524327 UFJ524327 TVN524327 TLR524327 TBV524327 SRZ524327 SID524327 RYH524327 ROL524327 REP524327 QUT524327 QKX524327 QBB524327 PRF524327 PHJ524327 OXN524327 ONR524327 ODV524327 NTZ524327 NKD524327 NAH524327 MQL524327 MGP524327 LWT524327 LMX524327 LDB524327 KTF524327 KJJ524327 JZN524327 JPR524327 JFV524327 IVZ524327 IMD524327 ICH524327 HSL524327 HIP524327 GYT524327 GOX524327 GFB524327 FVF524327 FLJ524327 FBN524327 ERR524327 EHV524327 DXZ524327 DOD524327 DEH524327 CUL524327 CKP524327 CAT524327 BQX524327 BHB524327 AXF524327 ANJ524327 ADN524327 TR524327 JV524327 Z524327 WWH458791 WML458791 WCP458791 VST458791 VIX458791 UZB458791 UPF458791 UFJ458791 TVN458791 TLR458791 TBV458791 SRZ458791 SID458791 RYH458791 ROL458791 REP458791 QUT458791 QKX458791 QBB458791 PRF458791 PHJ458791 OXN458791 ONR458791 ODV458791 NTZ458791 NKD458791 NAH458791 MQL458791 MGP458791 LWT458791 LMX458791 LDB458791 KTF458791 KJJ458791 JZN458791 JPR458791 JFV458791 IVZ458791 IMD458791 ICH458791 HSL458791 HIP458791 GYT458791 GOX458791 GFB458791 FVF458791 FLJ458791 FBN458791 ERR458791 EHV458791 DXZ458791 DOD458791 DEH458791 CUL458791 CKP458791 CAT458791 BQX458791 BHB458791 AXF458791 ANJ458791 ADN458791 TR458791 JV458791 Z458791 WWH393255 WML393255 WCP393255 VST393255 VIX393255 UZB393255 UPF393255 UFJ393255 TVN393255 TLR393255 TBV393255 SRZ393255 SID393255 RYH393255 ROL393255 REP393255 QUT393255 QKX393255 QBB393255 PRF393255 PHJ393255 OXN393255 ONR393255 ODV393255 NTZ393255 NKD393255 NAH393255 MQL393255 MGP393255 LWT393255 LMX393255 LDB393255 KTF393255 KJJ393255 JZN393255 JPR393255 JFV393255 IVZ393255 IMD393255 ICH393255 HSL393255 HIP393255 GYT393255 GOX393255 GFB393255 FVF393255 FLJ393255 FBN393255 ERR393255 EHV393255 DXZ393255 DOD393255 DEH393255 CUL393255 CKP393255 CAT393255 BQX393255 BHB393255 AXF393255 ANJ393255 ADN393255 TR393255 JV393255 Z393255 WWH327719 WML327719 WCP327719 VST327719 VIX327719 UZB327719 UPF327719 UFJ327719 TVN327719 TLR327719 TBV327719 SRZ327719 SID327719 RYH327719 ROL327719 REP327719 QUT327719 QKX327719 QBB327719 PRF327719 PHJ327719 OXN327719 ONR327719 ODV327719 NTZ327719 NKD327719 NAH327719 MQL327719 MGP327719 LWT327719 LMX327719 LDB327719 KTF327719 KJJ327719 JZN327719 JPR327719 JFV327719 IVZ327719 IMD327719 ICH327719 HSL327719 HIP327719 GYT327719 GOX327719 GFB327719 FVF327719 FLJ327719 FBN327719 ERR327719 EHV327719 DXZ327719 DOD327719 DEH327719 CUL327719 CKP327719 CAT327719 BQX327719 BHB327719 AXF327719 ANJ327719 ADN327719 TR327719 JV327719 Z327719 WWH262183 WML262183 WCP262183 VST262183 VIX262183 UZB262183 UPF262183 UFJ262183 TVN262183 TLR262183 TBV262183 SRZ262183 SID262183 RYH262183 ROL262183 REP262183 QUT262183 QKX262183 QBB262183 PRF262183 PHJ262183 OXN262183 ONR262183 ODV262183 NTZ262183 NKD262183 NAH262183 MQL262183 MGP262183 LWT262183 LMX262183 LDB262183 KTF262183 KJJ262183 JZN262183 JPR262183 JFV262183 IVZ262183 IMD262183 ICH262183 HSL262183 HIP262183 GYT262183 GOX262183 GFB262183 FVF262183 FLJ262183 FBN262183 ERR262183 EHV262183 DXZ262183 DOD262183 DEH262183 CUL262183 CKP262183 CAT262183 BQX262183 BHB262183 AXF262183 ANJ262183 ADN262183 TR262183 JV262183 Z262183 WWH196647 WML196647 WCP196647 VST196647 VIX196647 UZB196647 UPF196647 UFJ196647 TVN196647 TLR196647 TBV196647 SRZ196647 SID196647 RYH196647 ROL196647 REP196647 QUT196647 QKX196647 QBB196647 PRF196647 PHJ196647 OXN196647 ONR196647 ODV196647 NTZ196647 NKD196647 NAH196647 MQL196647 MGP196647 LWT196647 LMX196647 LDB196647 KTF196647 KJJ196647 JZN196647 JPR196647 JFV196647 IVZ196647 IMD196647 ICH196647 HSL196647 HIP196647 GYT196647 GOX196647 GFB196647 FVF196647 FLJ196647 FBN196647 ERR196647 EHV196647 DXZ196647 DOD196647 DEH196647 CUL196647 CKP196647 CAT196647 BQX196647 BHB196647 AXF196647 ANJ196647 ADN196647 TR196647 JV196647 Z196647 WWH131111 WML131111 WCP131111 VST131111 VIX131111 UZB131111 UPF131111 UFJ131111 TVN131111 TLR131111 TBV131111 SRZ131111 SID131111 RYH131111 ROL131111 REP131111 QUT131111 QKX131111 QBB131111 PRF131111 PHJ131111 OXN131111 ONR131111 ODV131111 NTZ131111 NKD131111 NAH131111 MQL131111 MGP131111 LWT131111 LMX131111 LDB131111 KTF131111 KJJ131111 JZN131111 JPR131111 JFV131111 IVZ131111 IMD131111 ICH131111 HSL131111 HIP131111 GYT131111 GOX131111 GFB131111 FVF131111 FLJ131111 FBN131111 ERR131111 EHV131111 DXZ131111 DOD131111 DEH131111 CUL131111 CKP131111 CAT131111 BQX131111 BHB131111 AXF131111 ANJ131111 ADN131111 TR131111 JV131111 Z131111 WWH65575 WML65575 WCP65575 VST65575 VIX65575 UZB65575 UPF65575 UFJ65575 TVN65575 TLR65575 TBV65575 SRZ65575 SID65575 RYH65575 ROL65575 REP65575 QUT65575 QKX65575 QBB65575 PRF65575 PHJ65575 OXN65575 ONR65575 ODV65575 NTZ65575 NKD65575 NAH65575 MQL65575 MGP65575 LWT65575 LMX65575 LDB65575 KTF65575 KJJ65575 JZN65575 JPR65575 JFV65575 IVZ65575 IMD65575 ICH65575 HSL65575 HIP65575 GYT65575 GOX65575 GFB65575 FVF65575 FLJ65575 FBN65575 ERR65575 EHV65575 DXZ65575 DOD65575 DEH65575 CUL65575 CKP65575 CAT65575 BQX65575 BHB65575 AXF65575 ANJ65575 ADN65575 TR65575 JV65575 Z65575 WWH39 WML39 WCP39 VST39 VIX39 UZB39 UPF39 UFJ39 TVN39 TLR39 TBV39 SRZ39 SID39 RYH39 ROL39 REP39 QUT39 QKX39 QBB39 PRF39 PHJ39 OXN39 ONR39 ODV39 NTZ39 NKD39 NAH39 MQL39 MGP39 LWT39 LMX39 LDB39 KTF39 KJJ39 JZN39 JPR39 JFV39 IVZ39 IMD39 ICH39 HSL39 HIP39 GYT39 GOX39 GFB39 FVF39 FLJ39 FBN39 ERR39 EHV39 DXZ39 DOD39 DEH39 CUL39 CKP39 CAT39 BQX39 BHB39 AXF39 ANJ39 ADN39 TR39 JV39">
      <formula1>#REF!</formula1>
    </dataValidation>
    <dataValidation type="list" allowBlank="1" showInputMessage="1" showErrorMessage="1" sqref="E35:E36 WVM983070:WVM983072 WLQ983070:WLQ983072 WBU983070:WBU983072 VRY983070:VRY983072 VIC983070:VIC983072 UYG983070:UYG983072 UOK983070:UOK983072 UEO983070:UEO983072 TUS983070:TUS983072 TKW983070:TKW983072 TBA983070:TBA983072 SRE983070:SRE983072 SHI983070:SHI983072 RXM983070:RXM983072 RNQ983070:RNQ983072 RDU983070:RDU983072 QTY983070:QTY983072 QKC983070:QKC983072 QAG983070:QAG983072 PQK983070:PQK983072 PGO983070:PGO983072 OWS983070:OWS983072 OMW983070:OMW983072 ODA983070:ODA983072 NTE983070:NTE983072 NJI983070:NJI983072 MZM983070:MZM983072 MPQ983070:MPQ983072 MFU983070:MFU983072 LVY983070:LVY983072 LMC983070:LMC983072 LCG983070:LCG983072 KSK983070:KSK983072 KIO983070:KIO983072 JYS983070:JYS983072 JOW983070:JOW983072 JFA983070:JFA983072 IVE983070:IVE983072 ILI983070:ILI983072 IBM983070:IBM983072 HRQ983070:HRQ983072 HHU983070:HHU983072 GXY983070:GXY983072 GOC983070:GOC983072 GEG983070:GEG983072 FUK983070:FUK983072 FKO983070:FKO983072 FAS983070:FAS983072 EQW983070:EQW983072 EHA983070:EHA983072 DXE983070:DXE983072 DNI983070:DNI983072 DDM983070:DDM983072 CTQ983070:CTQ983072 CJU983070:CJU983072 BZY983070:BZY983072 BQC983070:BQC983072 BGG983070:BGG983072 AWK983070:AWK983072 AMO983070:AMO983072 ACS983070:ACS983072 SW983070:SW983072 JA983070:JA983072 E983070:E983072 WVM917534:WVM917536 WLQ917534:WLQ917536 WBU917534:WBU917536 VRY917534:VRY917536 VIC917534:VIC917536 UYG917534:UYG917536 UOK917534:UOK917536 UEO917534:UEO917536 TUS917534:TUS917536 TKW917534:TKW917536 TBA917534:TBA917536 SRE917534:SRE917536 SHI917534:SHI917536 RXM917534:RXM917536 RNQ917534:RNQ917536 RDU917534:RDU917536 QTY917534:QTY917536 QKC917534:QKC917536 QAG917534:QAG917536 PQK917534:PQK917536 PGO917534:PGO917536 OWS917534:OWS917536 OMW917534:OMW917536 ODA917534:ODA917536 NTE917534:NTE917536 NJI917534:NJI917536 MZM917534:MZM917536 MPQ917534:MPQ917536 MFU917534:MFU917536 LVY917534:LVY917536 LMC917534:LMC917536 LCG917534:LCG917536 KSK917534:KSK917536 KIO917534:KIO917536 JYS917534:JYS917536 JOW917534:JOW917536 JFA917534:JFA917536 IVE917534:IVE917536 ILI917534:ILI917536 IBM917534:IBM917536 HRQ917534:HRQ917536 HHU917534:HHU917536 GXY917534:GXY917536 GOC917534:GOC917536 GEG917534:GEG917536 FUK917534:FUK917536 FKO917534:FKO917536 FAS917534:FAS917536 EQW917534:EQW917536 EHA917534:EHA917536 DXE917534:DXE917536 DNI917534:DNI917536 DDM917534:DDM917536 CTQ917534:CTQ917536 CJU917534:CJU917536 BZY917534:BZY917536 BQC917534:BQC917536 BGG917534:BGG917536 AWK917534:AWK917536 AMO917534:AMO917536 ACS917534:ACS917536 SW917534:SW917536 JA917534:JA917536 E917534:E917536 WVM851998:WVM852000 WLQ851998:WLQ852000 WBU851998:WBU852000 VRY851998:VRY852000 VIC851998:VIC852000 UYG851998:UYG852000 UOK851998:UOK852000 UEO851998:UEO852000 TUS851998:TUS852000 TKW851998:TKW852000 TBA851998:TBA852000 SRE851998:SRE852000 SHI851998:SHI852000 RXM851998:RXM852000 RNQ851998:RNQ852000 RDU851998:RDU852000 QTY851998:QTY852000 QKC851998:QKC852000 QAG851998:QAG852000 PQK851998:PQK852000 PGO851998:PGO852000 OWS851998:OWS852000 OMW851998:OMW852000 ODA851998:ODA852000 NTE851998:NTE852000 NJI851998:NJI852000 MZM851998:MZM852000 MPQ851998:MPQ852000 MFU851998:MFU852000 LVY851998:LVY852000 LMC851998:LMC852000 LCG851998:LCG852000 KSK851998:KSK852000 KIO851998:KIO852000 JYS851998:JYS852000 JOW851998:JOW852000 JFA851998:JFA852000 IVE851998:IVE852000 ILI851998:ILI852000 IBM851998:IBM852000 HRQ851998:HRQ852000 HHU851998:HHU852000 GXY851998:GXY852000 GOC851998:GOC852000 GEG851998:GEG852000 FUK851998:FUK852000 FKO851998:FKO852000 FAS851998:FAS852000 EQW851998:EQW852000 EHA851998:EHA852000 DXE851998:DXE852000 DNI851998:DNI852000 DDM851998:DDM852000 CTQ851998:CTQ852000 CJU851998:CJU852000 BZY851998:BZY852000 BQC851998:BQC852000 BGG851998:BGG852000 AWK851998:AWK852000 AMO851998:AMO852000 ACS851998:ACS852000 SW851998:SW852000 JA851998:JA852000 E851998:E852000 WVM786462:WVM786464 WLQ786462:WLQ786464 WBU786462:WBU786464 VRY786462:VRY786464 VIC786462:VIC786464 UYG786462:UYG786464 UOK786462:UOK786464 UEO786462:UEO786464 TUS786462:TUS786464 TKW786462:TKW786464 TBA786462:TBA786464 SRE786462:SRE786464 SHI786462:SHI786464 RXM786462:RXM786464 RNQ786462:RNQ786464 RDU786462:RDU786464 QTY786462:QTY786464 QKC786462:QKC786464 QAG786462:QAG786464 PQK786462:PQK786464 PGO786462:PGO786464 OWS786462:OWS786464 OMW786462:OMW786464 ODA786462:ODA786464 NTE786462:NTE786464 NJI786462:NJI786464 MZM786462:MZM786464 MPQ786462:MPQ786464 MFU786462:MFU786464 LVY786462:LVY786464 LMC786462:LMC786464 LCG786462:LCG786464 KSK786462:KSK786464 KIO786462:KIO786464 JYS786462:JYS786464 JOW786462:JOW786464 JFA786462:JFA786464 IVE786462:IVE786464 ILI786462:ILI786464 IBM786462:IBM786464 HRQ786462:HRQ786464 HHU786462:HHU786464 GXY786462:GXY786464 GOC786462:GOC786464 GEG786462:GEG786464 FUK786462:FUK786464 FKO786462:FKO786464 FAS786462:FAS786464 EQW786462:EQW786464 EHA786462:EHA786464 DXE786462:DXE786464 DNI786462:DNI786464 DDM786462:DDM786464 CTQ786462:CTQ786464 CJU786462:CJU786464 BZY786462:BZY786464 BQC786462:BQC786464 BGG786462:BGG786464 AWK786462:AWK786464 AMO786462:AMO786464 ACS786462:ACS786464 SW786462:SW786464 JA786462:JA786464 E786462:E786464 WVM720926:WVM720928 WLQ720926:WLQ720928 WBU720926:WBU720928 VRY720926:VRY720928 VIC720926:VIC720928 UYG720926:UYG720928 UOK720926:UOK720928 UEO720926:UEO720928 TUS720926:TUS720928 TKW720926:TKW720928 TBA720926:TBA720928 SRE720926:SRE720928 SHI720926:SHI720928 RXM720926:RXM720928 RNQ720926:RNQ720928 RDU720926:RDU720928 QTY720926:QTY720928 QKC720926:QKC720928 QAG720926:QAG720928 PQK720926:PQK720928 PGO720926:PGO720928 OWS720926:OWS720928 OMW720926:OMW720928 ODA720926:ODA720928 NTE720926:NTE720928 NJI720926:NJI720928 MZM720926:MZM720928 MPQ720926:MPQ720928 MFU720926:MFU720928 LVY720926:LVY720928 LMC720926:LMC720928 LCG720926:LCG720928 KSK720926:KSK720928 KIO720926:KIO720928 JYS720926:JYS720928 JOW720926:JOW720928 JFA720926:JFA720928 IVE720926:IVE720928 ILI720926:ILI720928 IBM720926:IBM720928 HRQ720926:HRQ720928 HHU720926:HHU720928 GXY720926:GXY720928 GOC720926:GOC720928 GEG720926:GEG720928 FUK720926:FUK720928 FKO720926:FKO720928 FAS720926:FAS720928 EQW720926:EQW720928 EHA720926:EHA720928 DXE720926:DXE720928 DNI720926:DNI720928 DDM720926:DDM720928 CTQ720926:CTQ720928 CJU720926:CJU720928 BZY720926:BZY720928 BQC720926:BQC720928 BGG720926:BGG720928 AWK720926:AWK720928 AMO720926:AMO720928 ACS720926:ACS720928 SW720926:SW720928 JA720926:JA720928 E720926:E720928 WVM655390:WVM655392 WLQ655390:WLQ655392 WBU655390:WBU655392 VRY655390:VRY655392 VIC655390:VIC655392 UYG655390:UYG655392 UOK655390:UOK655392 UEO655390:UEO655392 TUS655390:TUS655392 TKW655390:TKW655392 TBA655390:TBA655392 SRE655390:SRE655392 SHI655390:SHI655392 RXM655390:RXM655392 RNQ655390:RNQ655392 RDU655390:RDU655392 QTY655390:QTY655392 QKC655390:QKC655392 QAG655390:QAG655392 PQK655390:PQK655392 PGO655390:PGO655392 OWS655390:OWS655392 OMW655390:OMW655392 ODA655390:ODA655392 NTE655390:NTE655392 NJI655390:NJI655392 MZM655390:MZM655392 MPQ655390:MPQ655392 MFU655390:MFU655392 LVY655390:LVY655392 LMC655390:LMC655392 LCG655390:LCG655392 KSK655390:KSK655392 KIO655390:KIO655392 JYS655390:JYS655392 JOW655390:JOW655392 JFA655390:JFA655392 IVE655390:IVE655392 ILI655390:ILI655392 IBM655390:IBM655392 HRQ655390:HRQ655392 HHU655390:HHU655392 GXY655390:GXY655392 GOC655390:GOC655392 GEG655390:GEG655392 FUK655390:FUK655392 FKO655390:FKO655392 FAS655390:FAS655392 EQW655390:EQW655392 EHA655390:EHA655392 DXE655390:DXE655392 DNI655390:DNI655392 DDM655390:DDM655392 CTQ655390:CTQ655392 CJU655390:CJU655392 BZY655390:BZY655392 BQC655390:BQC655392 BGG655390:BGG655392 AWK655390:AWK655392 AMO655390:AMO655392 ACS655390:ACS655392 SW655390:SW655392 JA655390:JA655392 E655390:E655392 WVM589854:WVM589856 WLQ589854:WLQ589856 WBU589854:WBU589856 VRY589854:VRY589856 VIC589854:VIC589856 UYG589854:UYG589856 UOK589854:UOK589856 UEO589854:UEO589856 TUS589854:TUS589856 TKW589854:TKW589856 TBA589854:TBA589856 SRE589854:SRE589856 SHI589854:SHI589856 RXM589854:RXM589856 RNQ589854:RNQ589856 RDU589854:RDU589856 QTY589854:QTY589856 QKC589854:QKC589856 QAG589854:QAG589856 PQK589854:PQK589856 PGO589854:PGO589856 OWS589854:OWS589856 OMW589854:OMW589856 ODA589854:ODA589856 NTE589854:NTE589856 NJI589854:NJI589856 MZM589854:MZM589856 MPQ589854:MPQ589856 MFU589854:MFU589856 LVY589854:LVY589856 LMC589854:LMC589856 LCG589854:LCG589856 KSK589854:KSK589856 KIO589854:KIO589856 JYS589854:JYS589856 JOW589854:JOW589856 JFA589854:JFA589856 IVE589854:IVE589856 ILI589854:ILI589856 IBM589854:IBM589856 HRQ589854:HRQ589856 HHU589854:HHU589856 GXY589854:GXY589856 GOC589854:GOC589856 GEG589854:GEG589856 FUK589854:FUK589856 FKO589854:FKO589856 FAS589854:FAS589856 EQW589854:EQW589856 EHA589854:EHA589856 DXE589854:DXE589856 DNI589854:DNI589856 DDM589854:DDM589856 CTQ589854:CTQ589856 CJU589854:CJU589856 BZY589854:BZY589856 BQC589854:BQC589856 BGG589854:BGG589856 AWK589854:AWK589856 AMO589854:AMO589856 ACS589854:ACS589856 SW589854:SW589856 JA589854:JA589856 E589854:E589856 WVM524318:WVM524320 WLQ524318:WLQ524320 WBU524318:WBU524320 VRY524318:VRY524320 VIC524318:VIC524320 UYG524318:UYG524320 UOK524318:UOK524320 UEO524318:UEO524320 TUS524318:TUS524320 TKW524318:TKW524320 TBA524318:TBA524320 SRE524318:SRE524320 SHI524318:SHI524320 RXM524318:RXM524320 RNQ524318:RNQ524320 RDU524318:RDU524320 QTY524318:QTY524320 QKC524318:QKC524320 QAG524318:QAG524320 PQK524318:PQK524320 PGO524318:PGO524320 OWS524318:OWS524320 OMW524318:OMW524320 ODA524318:ODA524320 NTE524318:NTE524320 NJI524318:NJI524320 MZM524318:MZM524320 MPQ524318:MPQ524320 MFU524318:MFU524320 LVY524318:LVY524320 LMC524318:LMC524320 LCG524318:LCG524320 KSK524318:KSK524320 KIO524318:KIO524320 JYS524318:JYS524320 JOW524318:JOW524320 JFA524318:JFA524320 IVE524318:IVE524320 ILI524318:ILI524320 IBM524318:IBM524320 HRQ524318:HRQ524320 HHU524318:HHU524320 GXY524318:GXY524320 GOC524318:GOC524320 GEG524318:GEG524320 FUK524318:FUK524320 FKO524318:FKO524320 FAS524318:FAS524320 EQW524318:EQW524320 EHA524318:EHA524320 DXE524318:DXE524320 DNI524318:DNI524320 DDM524318:DDM524320 CTQ524318:CTQ524320 CJU524318:CJU524320 BZY524318:BZY524320 BQC524318:BQC524320 BGG524318:BGG524320 AWK524318:AWK524320 AMO524318:AMO524320 ACS524318:ACS524320 SW524318:SW524320 JA524318:JA524320 E524318:E524320 WVM458782:WVM458784 WLQ458782:WLQ458784 WBU458782:WBU458784 VRY458782:VRY458784 VIC458782:VIC458784 UYG458782:UYG458784 UOK458782:UOK458784 UEO458782:UEO458784 TUS458782:TUS458784 TKW458782:TKW458784 TBA458782:TBA458784 SRE458782:SRE458784 SHI458782:SHI458784 RXM458782:RXM458784 RNQ458782:RNQ458784 RDU458782:RDU458784 QTY458782:QTY458784 QKC458782:QKC458784 QAG458782:QAG458784 PQK458782:PQK458784 PGO458782:PGO458784 OWS458782:OWS458784 OMW458782:OMW458784 ODA458782:ODA458784 NTE458782:NTE458784 NJI458782:NJI458784 MZM458782:MZM458784 MPQ458782:MPQ458784 MFU458782:MFU458784 LVY458782:LVY458784 LMC458782:LMC458784 LCG458782:LCG458784 KSK458782:KSK458784 KIO458782:KIO458784 JYS458782:JYS458784 JOW458782:JOW458784 JFA458782:JFA458784 IVE458782:IVE458784 ILI458782:ILI458784 IBM458782:IBM458784 HRQ458782:HRQ458784 HHU458782:HHU458784 GXY458782:GXY458784 GOC458782:GOC458784 GEG458782:GEG458784 FUK458782:FUK458784 FKO458782:FKO458784 FAS458782:FAS458784 EQW458782:EQW458784 EHA458782:EHA458784 DXE458782:DXE458784 DNI458782:DNI458784 DDM458782:DDM458784 CTQ458782:CTQ458784 CJU458782:CJU458784 BZY458782:BZY458784 BQC458782:BQC458784 BGG458782:BGG458784 AWK458782:AWK458784 AMO458782:AMO458784 ACS458782:ACS458784 SW458782:SW458784 JA458782:JA458784 E458782:E458784 WVM393246:WVM393248 WLQ393246:WLQ393248 WBU393246:WBU393248 VRY393246:VRY393248 VIC393246:VIC393248 UYG393246:UYG393248 UOK393246:UOK393248 UEO393246:UEO393248 TUS393246:TUS393248 TKW393246:TKW393248 TBA393246:TBA393248 SRE393246:SRE393248 SHI393246:SHI393248 RXM393246:RXM393248 RNQ393246:RNQ393248 RDU393246:RDU393248 QTY393246:QTY393248 QKC393246:QKC393248 QAG393246:QAG393248 PQK393246:PQK393248 PGO393246:PGO393248 OWS393246:OWS393248 OMW393246:OMW393248 ODA393246:ODA393248 NTE393246:NTE393248 NJI393246:NJI393248 MZM393246:MZM393248 MPQ393246:MPQ393248 MFU393246:MFU393248 LVY393246:LVY393248 LMC393246:LMC393248 LCG393246:LCG393248 KSK393246:KSK393248 KIO393246:KIO393248 JYS393246:JYS393248 JOW393246:JOW393248 JFA393246:JFA393248 IVE393246:IVE393248 ILI393246:ILI393248 IBM393246:IBM393248 HRQ393246:HRQ393248 HHU393246:HHU393248 GXY393246:GXY393248 GOC393246:GOC393248 GEG393246:GEG393248 FUK393246:FUK393248 FKO393246:FKO393248 FAS393246:FAS393248 EQW393246:EQW393248 EHA393246:EHA393248 DXE393246:DXE393248 DNI393246:DNI393248 DDM393246:DDM393248 CTQ393246:CTQ393248 CJU393246:CJU393248 BZY393246:BZY393248 BQC393246:BQC393248 BGG393246:BGG393248 AWK393246:AWK393248 AMO393246:AMO393248 ACS393246:ACS393248 SW393246:SW393248 JA393246:JA393248 E393246:E393248 WVM327710:WVM327712 WLQ327710:WLQ327712 WBU327710:WBU327712 VRY327710:VRY327712 VIC327710:VIC327712 UYG327710:UYG327712 UOK327710:UOK327712 UEO327710:UEO327712 TUS327710:TUS327712 TKW327710:TKW327712 TBA327710:TBA327712 SRE327710:SRE327712 SHI327710:SHI327712 RXM327710:RXM327712 RNQ327710:RNQ327712 RDU327710:RDU327712 QTY327710:QTY327712 QKC327710:QKC327712 QAG327710:QAG327712 PQK327710:PQK327712 PGO327710:PGO327712 OWS327710:OWS327712 OMW327710:OMW327712 ODA327710:ODA327712 NTE327710:NTE327712 NJI327710:NJI327712 MZM327710:MZM327712 MPQ327710:MPQ327712 MFU327710:MFU327712 LVY327710:LVY327712 LMC327710:LMC327712 LCG327710:LCG327712 KSK327710:KSK327712 KIO327710:KIO327712 JYS327710:JYS327712 JOW327710:JOW327712 JFA327710:JFA327712 IVE327710:IVE327712 ILI327710:ILI327712 IBM327710:IBM327712 HRQ327710:HRQ327712 HHU327710:HHU327712 GXY327710:GXY327712 GOC327710:GOC327712 GEG327710:GEG327712 FUK327710:FUK327712 FKO327710:FKO327712 FAS327710:FAS327712 EQW327710:EQW327712 EHA327710:EHA327712 DXE327710:DXE327712 DNI327710:DNI327712 DDM327710:DDM327712 CTQ327710:CTQ327712 CJU327710:CJU327712 BZY327710:BZY327712 BQC327710:BQC327712 BGG327710:BGG327712 AWK327710:AWK327712 AMO327710:AMO327712 ACS327710:ACS327712 SW327710:SW327712 JA327710:JA327712 E327710:E327712 WVM262174:WVM262176 WLQ262174:WLQ262176 WBU262174:WBU262176 VRY262174:VRY262176 VIC262174:VIC262176 UYG262174:UYG262176 UOK262174:UOK262176 UEO262174:UEO262176 TUS262174:TUS262176 TKW262174:TKW262176 TBA262174:TBA262176 SRE262174:SRE262176 SHI262174:SHI262176 RXM262174:RXM262176 RNQ262174:RNQ262176 RDU262174:RDU262176 QTY262174:QTY262176 QKC262174:QKC262176 QAG262174:QAG262176 PQK262174:PQK262176 PGO262174:PGO262176 OWS262174:OWS262176 OMW262174:OMW262176 ODA262174:ODA262176 NTE262174:NTE262176 NJI262174:NJI262176 MZM262174:MZM262176 MPQ262174:MPQ262176 MFU262174:MFU262176 LVY262174:LVY262176 LMC262174:LMC262176 LCG262174:LCG262176 KSK262174:KSK262176 KIO262174:KIO262176 JYS262174:JYS262176 JOW262174:JOW262176 JFA262174:JFA262176 IVE262174:IVE262176 ILI262174:ILI262176 IBM262174:IBM262176 HRQ262174:HRQ262176 HHU262174:HHU262176 GXY262174:GXY262176 GOC262174:GOC262176 GEG262174:GEG262176 FUK262174:FUK262176 FKO262174:FKO262176 FAS262174:FAS262176 EQW262174:EQW262176 EHA262174:EHA262176 DXE262174:DXE262176 DNI262174:DNI262176 DDM262174:DDM262176 CTQ262174:CTQ262176 CJU262174:CJU262176 BZY262174:BZY262176 BQC262174:BQC262176 BGG262174:BGG262176 AWK262174:AWK262176 AMO262174:AMO262176 ACS262174:ACS262176 SW262174:SW262176 JA262174:JA262176 E262174:E262176 WVM196638:WVM196640 WLQ196638:WLQ196640 WBU196638:WBU196640 VRY196638:VRY196640 VIC196638:VIC196640 UYG196638:UYG196640 UOK196638:UOK196640 UEO196638:UEO196640 TUS196638:TUS196640 TKW196638:TKW196640 TBA196638:TBA196640 SRE196638:SRE196640 SHI196638:SHI196640 RXM196638:RXM196640 RNQ196638:RNQ196640 RDU196638:RDU196640 QTY196638:QTY196640 QKC196638:QKC196640 QAG196638:QAG196640 PQK196638:PQK196640 PGO196638:PGO196640 OWS196638:OWS196640 OMW196638:OMW196640 ODA196638:ODA196640 NTE196638:NTE196640 NJI196638:NJI196640 MZM196638:MZM196640 MPQ196638:MPQ196640 MFU196638:MFU196640 LVY196638:LVY196640 LMC196638:LMC196640 LCG196638:LCG196640 KSK196638:KSK196640 KIO196638:KIO196640 JYS196638:JYS196640 JOW196638:JOW196640 JFA196638:JFA196640 IVE196638:IVE196640 ILI196638:ILI196640 IBM196638:IBM196640 HRQ196638:HRQ196640 HHU196638:HHU196640 GXY196638:GXY196640 GOC196638:GOC196640 GEG196638:GEG196640 FUK196638:FUK196640 FKO196638:FKO196640 FAS196638:FAS196640 EQW196638:EQW196640 EHA196638:EHA196640 DXE196638:DXE196640 DNI196638:DNI196640 DDM196638:DDM196640 CTQ196638:CTQ196640 CJU196638:CJU196640 BZY196638:BZY196640 BQC196638:BQC196640 BGG196638:BGG196640 AWK196638:AWK196640 AMO196638:AMO196640 ACS196638:ACS196640 SW196638:SW196640 JA196638:JA196640 E196638:E196640 WVM131102:WVM131104 WLQ131102:WLQ131104 WBU131102:WBU131104 VRY131102:VRY131104 VIC131102:VIC131104 UYG131102:UYG131104 UOK131102:UOK131104 UEO131102:UEO131104 TUS131102:TUS131104 TKW131102:TKW131104 TBA131102:TBA131104 SRE131102:SRE131104 SHI131102:SHI131104 RXM131102:RXM131104 RNQ131102:RNQ131104 RDU131102:RDU131104 QTY131102:QTY131104 QKC131102:QKC131104 QAG131102:QAG131104 PQK131102:PQK131104 PGO131102:PGO131104 OWS131102:OWS131104 OMW131102:OMW131104 ODA131102:ODA131104 NTE131102:NTE131104 NJI131102:NJI131104 MZM131102:MZM131104 MPQ131102:MPQ131104 MFU131102:MFU131104 LVY131102:LVY131104 LMC131102:LMC131104 LCG131102:LCG131104 KSK131102:KSK131104 KIO131102:KIO131104 JYS131102:JYS131104 JOW131102:JOW131104 JFA131102:JFA131104 IVE131102:IVE131104 ILI131102:ILI131104 IBM131102:IBM131104 HRQ131102:HRQ131104 HHU131102:HHU131104 GXY131102:GXY131104 GOC131102:GOC131104 GEG131102:GEG131104 FUK131102:FUK131104 FKO131102:FKO131104 FAS131102:FAS131104 EQW131102:EQW131104 EHA131102:EHA131104 DXE131102:DXE131104 DNI131102:DNI131104 DDM131102:DDM131104 CTQ131102:CTQ131104 CJU131102:CJU131104 BZY131102:BZY131104 BQC131102:BQC131104 BGG131102:BGG131104 AWK131102:AWK131104 AMO131102:AMO131104 ACS131102:ACS131104 SW131102:SW131104 JA131102:JA131104 E131102:E131104 WVM65566:WVM65568 WLQ65566:WLQ65568 WBU65566:WBU65568 VRY65566:VRY65568 VIC65566:VIC65568 UYG65566:UYG65568 UOK65566:UOK65568 UEO65566:UEO65568 TUS65566:TUS65568 TKW65566:TKW65568 TBA65566:TBA65568 SRE65566:SRE65568 SHI65566:SHI65568 RXM65566:RXM65568 RNQ65566:RNQ65568 RDU65566:RDU65568 QTY65566:QTY65568 QKC65566:QKC65568 QAG65566:QAG65568 PQK65566:PQK65568 PGO65566:PGO65568 OWS65566:OWS65568 OMW65566:OMW65568 ODA65566:ODA65568 NTE65566:NTE65568 NJI65566:NJI65568 MZM65566:MZM65568 MPQ65566:MPQ65568 MFU65566:MFU65568 LVY65566:LVY65568 LMC65566:LMC65568 LCG65566:LCG65568 KSK65566:KSK65568 KIO65566:KIO65568 JYS65566:JYS65568 JOW65566:JOW65568 JFA65566:JFA65568 IVE65566:IVE65568 ILI65566:ILI65568 IBM65566:IBM65568 HRQ65566:HRQ65568 HHU65566:HHU65568 GXY65566:GXY65568 GOC65566:GOC65568 GEG65566:GEG65568 FUK65566:FUK65568 FKO65566:FKO65568 FAS65566:FAS65568 EQW65566:EQW65568 EHA65566:EHA65568 DXE65566:DXE65568 DNI65566:DNI65568 DDM65566:DDM65568 CTQ65566:CTQ65568 CJU65566:CJU65568 BZY65566:BZY65568 BQC65566:BQC65568 BGG65566:BGG65568 AWK65566:AWK65568 AMO65566:AMO65568 ACS65566:ACS65568 SW65566:SW65568 JA65566:JA65568 E65566:E65568 WVM30:WVM32 WLQ30:WLQ32 WBU30:WBU32 VRY30:VRY32 VIC30:VIC32 UYG30:UYG32 UOK30:UOK32 UEO30:UEO32 TUS30:TUS32 TKW30:TKW32 TBA30:TBA32 SRE30:SRE32 SHI30:SHI32 RXM30:RXM32 RNQ30:RNQ32 RDU30:RDU32 QTY30:QTY32 QKC30:QKC32 QAG30:QAG32 PQK30:PQK32 PGO30:PGO32 OWS30:OWS32 OMW30:OMW32 ODA30:ODA32 NTE30:NTE32 NJI30:NJI32 MZM30:MZM32 MPQ30:MPQ32 MFU30:MFU32 LVY30:LVY32 LMC30:LMC32 LCG30:LCG32 KSK30:KSK32 KIO30:KIO32 JYS30:JYS32 JOW30:JOW32 JFA30:JFA32 IVE30:IVE32 ILI30:ILI32 IBM30:IBM32 HRQ30:HRQ32 HHU30:HHU32 GXY30:GXY32 GOC30:GOC32 GEG30:GEG32 FUK30:FUK32 FKO30:FKO32 FAS30:FAS32 EQW30:EQW32 EHA30:EHA32 DXE30:DXE32 DNI30:DNI32 DDM30:DDM32 CTQ30:CTQ32 CJU30:CJU32 BZY30:BZY32 BQC30:BQC32 BGG30:BGG32 AWK30:AWK32 AMO30:AMO32 ACS30:ACS32 SW30:SW32 JA30:JA32 E30:E32 WVM983075:WVM983076 WLQ983075:WLQ983076 WBU983075:WBU983076 VRY983075:VRY983076 VIC983075:VIC983076 UYG983075:UYG983076 UOK983075:UOK983076 UEO983075:UEO983076 TUS983075:TUS983076 TKW983075:TKW983076 TBA983075:TBA983076 SRE983075:SRE983076 SHI983075:SHI983076 RXM983075:RXM983076 RNQ983075:RNQ983076 RDU983075:RDU983076 QTY983075:QTY983076 QKC983075:QKC983076 QAG983075:QAG983076 PQK983075:PQK983076 PGO983075:PGO983076 OWS983075:OWS983076 OMW983075:OMW983076 ODA983075:ODA983076 NTE983075:NTE983076 NJI983075:NJI983076 MZM983075:MZM983076 MPQ983075:MPQ983076 MFU983075:MFU983076 LVY983075:LVY983076 LMC983075:LMC983076 LCG983075:LCG983076 KSK983075:KSK983076 KIO983075:KIO983076 JYS983075:JYS983076 JOW983075:JOW983076 JFA983075:JFA983076 IVE983075:IVE983076 ILI983075:ILI983076 IBM983075:IBM983076 HRQ983075:HRQ983076 HHU983075:HHU983076 GXY983075:GXY983076 GOC983075:GOC983076 GEG983075:GEG983076 FUK983075:FUK983076 FKO983075:FKO983076 FAS983075:FAS983076 EQW983075:EQW983076 EHA983075:EHA983076 DXE983075:DXE983076 DNI983075:DNI983076 DDM983075:DDM983076 CTQ983075:CTQ983076 CJU983075:CJU983076 BZY983075:BZY983076 BQC983075:BQC983076 BGG983075:BGG983076 AWK983075:AWK983076 AMO983075:AMO983076 ACS983075:ACS983076 SW983075:SW983076 JA983075:JA983076 E983075:E983076 WVM917539:WVM917540 WLQ917539:WLQ917540 WBU917539:WBU917540 VRY917539:VRY917540 VIC917539:VIC917540 UYG917539:UYG917540 UOK917539:UOK917540 UEO917539:UEO917540 TUS917539:TUS917540 TKW917539:TKW917540 TBA917539:TBA917540 SRE917539:SRE917540 SHI917539:SHI917540 RXM917539:RXM917540 RNQ917539:RNQ917540 RDU917539:RDU917540 QTY917539:QTY917540 QKC917539:QKC917540 QAG917539:QAG917540 PQK917539:PQK917540 PGO917539:PGO917540 OWS917539:OWS917540 OMW917539:OMW917540 ODA917539:ODA917540 NTE917539:NTE917540 NJI917539:NJI917540 MZM917539:MZM917540 MPQ917539:MPQ917540 MFU917539:MFU917540 LVY917539:LVY917540 LMC917539:LMC917540 LCG917539:LCG917540 KSK917539:KSK917540 KIO917539:KIO917540 JYS917539:JYS917540 JOW917539:JOW917540 JFA917539:JFA917540 IVE917539:IVE917540 ILI917539:ILI917540 IBM917539:IBM917540 HRQ917539:HRQ917540 HHU917539:HHU917540 GXY917539:GXY917540 GOC917539:GOC917540 GEG917539:GEG917540 FUK917539:FUK917540 FKO917539:FKO917540 FAS917539:FAS917540 EQW917539:EQW917540 EHA917539:EHA917540 DXE917539:DXE917540 DNI917539:DNI917540 DDM917539:DDM917540 CTQ917539:CTQ917540 CJU917539:CJU917540 BZY917539:BZY917540 BQC917539:BQC917540 BGG917539:BGG917540 AWK917539:AWK917540 AMO917539:AMO917540 ACS917539:ACS917540 SW917539:SW917540 JA917539:JA917540 E917539:E917540 WVM852003:WVM852004 WLQ852003:WLQ852004 WBU852003:WBU852004 VRY852003:VRY852004 VIC852003:VIC852004 UYG852003:UYG852004 UOK852003:UOK852004 UEO852003:UEO852004 TUS852003:TUS852004 TKW852003:TKW852004 TBA852003:TBA852004 SRE852003:SRE852004 SHI852003:SHI852004 RXM852003:RXM852004 RNQ852003:RNQ852004 RDU852003:RDU852004 QTY852003:QTY852004 QKC852003:QKC852004 QAG852003:QAG852004 PQK852003:PQK852004 PGO852003:PGO852004 OWS852003:OWS852004 OMW852003:OMW852004 ODA852003:ODA852004 NTE852003:NTE852004 NJI852003:NJI852004 MZM852003:MZM852004 MPQ852003:MPQ852004 MFU852003:MFU852004 LVY852003:LVY852004 LMC852003:LMC852004 LCG852003:LCG852004 KSK852003:KSK852004 KIO852003:KIO852004 JYS852003:JYS852004 JOW852003:JOW852004 JFA852003:JFA852004 IVE852003:IVE852004 ILI852003:ILI852004 IBM852003:IBM852004 HRQ852003:HRQ852004 HHU852003:HHU852004 GXY852003:GXY852004 GOC852003:GOC852004 GEG852003:GEG852004 FUK852003:FUK852004 FKO852003:FKO852004 FAS852003:FAS852004 EQW852003:EQW852004 EHA852003:EHA852004 DXE852003:DXE852004 DNI852003:DNI852004 DDM852003:DDM852004 CTQ852003:CTQ852004 CJU852003:CJU852004 BZY852003:BZY852004 BQC852003:BQC852004 BGG852003:BGG852004 AWK852003:AWK852004 AMO852003:AMO852004 ACS852003:ACS852004 SW852003:SW852004 JA852003:JA852004 E852003:E852004 WVM786467:WVM786468 WLQ786467:WLQ786468 WBU786467:WBU786468 VRY786467:VRY786468 VIC786467:VIC786468 UYG786467:UYG786468 UOK786467:UOK786468 UEO786467:UEO786468 TUS786467:TUS786468 TKW786467:TKW786468 TBA786467:TBA786468 SRE786467:SRE786468 SHI786467:SHI786468 RXM786467:RXM786468 RNQ786467:RNQ786468 RDU786467:RDU786468 QTY786467:QTY786468 QKC786467:QKC786468 QAG786467:QAG786468 PQK786467:PQK786468 PGO786467:PGO786468 OWS786467:OWS786468 OMW786467:OMW786468 ODA786467:ODA786468 NTE786467:NTE786468 NJI786467:NJI786468 MZM786467:MZM786468 MPQ786467:MPQ786468 MFU786467:MFU786468 LVY786467:LVY786468 LMC786467:LMC786468 LCG786467:LCG786468 KSK786467:KSK786468 KIO786467:KIO786468 JYS786467:JYS786468 JOW786467:JOW786468 JFA786467:JFA786468 IVE786467:IVE786468 ILI786467:ILI786468 IBM786467:IBM786468 HRQ786467:HRQ786468 HHU786467:HHU786468 GXY786467:GXY786468 GOC786467:GOC786468 GEG786467:GEG786468 FUK786467:FUK786468 FKO786467:FKO786468 FAS786467:FAS786468 EQW786467:EQW786468 EHA786467:EHA786468 DXE786467:DXE786468 DNI786467:DNI786468 DDM786467:DDM786468 CTQ786467:CTQ786468 CJU786467:CJU786468 BZY786467:BZY786468 BQC786467:BQC786468 BGG786467:BGG786468 AWK786467:AWK786468 AMO786467:AMO786468 ACS786467:ACS786468 SW786467:SW786468 JA786467:JA786468 E786467:E786468 WVM720931:WVM720932 WLQ720931:WLQ720932 WBU720931:WBU720932 VRY720931:VRY720932 VIC720931:VIC720932 UYG720931:UYG720932 UOK720931:UOK720932 UEO720931:UEO720932 TUS720931:TUS720932 TKW720931:TKW720932 TBA720931:TBA720932 SRE720931:SRE720932 SHI720931:SHI720932 RXM720931:RXM720932 RNQ720931:RNQ720932 RDU720931:RDU720932 QTY720931:QTY720932 QKC720931:QKC720932 QAG720931:QAG720932 PQK720931:PQK720932 PGO720931:PGO720932 OWS720931:OWS720932 OMW720931:OMW720932 ODA720931:ODA720932 NTE720931:NTE720932 NJI720931:NJI720932 MZM720931:MZM720932 MPQ720931:MPQ720932 MFU720931:MFU720932 LVY720931:LVY720932 LMC720931:LMC720932 LCG720931:LCG720932 KSK720931:KSK720932 KIO720931:KIO720932 JYS720931:JYS720932 JOW720931:JOW720932 JFA720931:JFA720932 IVE720931:IVE720932 ILI720931:ILI720932 IBM720931:IBM720932 HRQ720931:HRQ720932 HHU720931:HHU720932 GXY720931:GXY720932 GOC720931:GOC720932 GEG720931:GEG720932 FUK720931:FUK720932 FKO720931:FKO720932 FAS720931:FAS720932 EQW720931:EQW720932 EHA720931:EHA720932 DXE720931:DXE720932 DNI720931:DNI720932 DDM720931:DDM720932 CTQ720931:CTQ720932 CJU720931:CJU720932 BZY720931:BZY720932 BQC720931:BQC720932 BGG720931:BGG720932 AWK720931:AWK720932 AMO720931:AMO720932 ACS720931:ACS720932 SW720931:SW720932 JA720931:JA720932 E720931:E720932 WVM655395:WVM655396 WLQ655395:WLQ655396 WBU655395:WBU655396 VRY655395:VRY655396 VIC655395:VIC655396 UYG655395:UYG655396 UOK655395:UOK655396 UEO655395:UEO655396 TUS655395:TUS655396 TKW655395:TKW655396 TBA655395:TBA655396 SRE655395:SRE655396 SHI655395:SHI655396 RXM655395:RXM655396 RNQ655395:RNQ655396 RDU655395:RDU655396 QTY655395:QTY655396 QKC655395:QKC655396 QAG655395:QAG655396 PQK655395:PQK655396 PGO655395:PGO655396 OWS655395:OWS655396 OMW655395:OMW655396 ODA655395:ODA655396 NTE655395:NTE655396 NJI655395:NJI655396 MZM655395:MZM655396 MPQ655395:MPQ655396 MFU655395:MFU655396 LVY655395:LVY655396 LMC655395:LMC655396 LCG655395:LCG655396 KSK655395:KSK655396 KIO655395:KIO655396 JYS655395:JYS655396 JOW655395:JOW655396 JFA655395:JFA655396 IVE655395:IVE655396 ILI655395:ILI655396 IBM655395:IBM655396 HRQ655395:HRQ655396 HHU655395:HHU655396 GXY655395:GXY655396 GOC655395:GOC655396 GEG655395:GEG655396 FUK655395:FUK655396 FKO655395:FKO655396 FAS655395:FAS655396 EQW655395:EQW655396 EHA655395:EHA655396 DXE655395:DXE655396 DNI655395:DNI655396 DDM655395:DDM655396 CTQ655395:CTQ655396 CJU655395:CJU655396 BZY655395:BZY655396 BQC655395:BQC655396 BGG655395:BGG655396 AWK655395:AWK655396 AMO655395:AMO655396 ACS655395:ACS655396 SW655395:SW655396 JA655395:JA655396 E655395:E655396 WVM589859:WVM589860 WLQ589859:WLQ589860 WBU589859:WBU589860 VRY589859:VRY589860 VIC589859:VIC589860 UYG589859:UYG589860 UOK589859:UOK589860 UEO589859:UEO589860 TUS589859:TUS589860 TKW589859:TKW589860 TBA589859:TBA589860 SRE589859:SRE589860 SHI589859:SHI589860 RXM589859:RXM589860 RNQ589859:RNQ589860 RDU589859:RDU589860 QTY589859:QTY589860 QKC589859:QKC589860 QAG589859:QAG589860 PQK589859:PQK589860 PGO589859:PGO589860 OWS589859:OWS589860 OMW589859:OMW589860 ODA589859:ODA589860 NTE589859:NTE589860 NJI589859:NJI589860 MZM589859:MZM589860 MPQ589859:MPQ589860 MFU589859:MFU589860 LVY589859:LVY589860 LMC589859:LMC589860 LCG589859:LCG589860 KSK589859:KSK589860 KIO589859:KIO589860 JYS589859:JYS589860 JOW589859:JOW589860 JFA589859:JFA589860 IVE589859:IVE589860 ILI589859:ILI589860 IBM589859:IBM589860 HRQ589859:HRQ589860 HHU589859:HHU589860 GXY589859:GXY589860 GOC589859:GOC589860 GEG589859:GEG589860 FUK589859:FUK589860 FKO589859:FKO589860 FAS589859:FAS589860 EQW589859:EQW589860 EHA589859:EHA589860 DXE589859:DXE589860 DNI589859:DNI589860 DDM589859:DDM589860 CTQ589859:CTQ589860 CJU589859:CJU589860 BZY589859:BZY589860 BQC589859:BQC589860 BGG589859:BGG589860 AWK589859:AWK589860 AMO589859:AMO589860 ACS589859:ACS589860 SW589859:SW589860 JA589859:JA589860 E589859:E589860 WVM524323:WVM524324 WLQ524323:WLQ524324 WBU524323:WBU524324 VRY524323:VRY524324 VIC524323:VIC524324 UYG524323:UYG524324 UOK524323:UOK524324 UEO524323:UEO524324 TUS524323:TUS524324 TKW524323:TKW524324 TBA524323:TBA524324 SRE524323:SRE524324 SHI524323:SHI524324 RXM524323:RXM524324 RNQ524323:RNQ524324 RDU524323:RDU524324 QTY524323:QTY524324 QKC524323:QKC524324 QAG524323:QAG524324 PQK524323:PQK524324 PGO524323:PGO524324 OWS524323:OWS524324 OMW524323:OMW524324 ODA524323:ODA524324 NTE524323:NTE524324 NJI524323:NJI524324 MZM524323:MZM524324 MPQ524323:MPQ524324 MFU524323:MFU524324 LVY524323:LVY524324 LMC524323:LMC524324 LCG524323:LCG524324 KSK524323:KSK524324 KIO524323:KIO524324 JYS524323:JYS524324 JOW524323:JOW524324 JFA524323:JFA524324 IVE524323:IVE524324 ILI524323:ILI524324 IBM524323:IBM524324 HRQ524323:HRQ524324 HHU524323:HHU524324 GXY524323:GXY524324 GOC524323:GOC524324 GEG524323:GEG524324 FUK524323:FUK524324 FKO524323:FKO524324 FAS524323:FAS524324 EQW524323:EQW524324 EHA524323:EHA524324 DXE524323:DXE524324 DNI524323:DNI524324 DDM524323:DDM524324 CTQ524323:CTQ524324 CJU524323:CJU524324 BZY524323:BZY524324 BQC524323:BQC524324 BGG524323:BGG524324 AWK524323:AWK524324 AMO524323:AMO524324 ACS524323:ACS524324 SW524323:SW524324 JA524323:JA524324 E524323:E524324 WVM458787:WVM458788 WLQ458787:WLQ458788 WBU458787:WBU458788 VRY458787:VRY458788 VIC458787:VIC458788 UYG458787:UYG458788 UOK458787:UOK458788 UEO458787:UEO458788 TUS458787:TUS458788 TKW458787:TKW458788 TBA458787:TBA458788 SRE458787:SRE458788 SHI458787:SHI458788 RXM458787:RXM458788 RNQ458787:RNQ458788 RDU458787:RDU458788 QTY458787:QTY458788 QKC458787:QKC458788 QAG458787:QAG458788 PQK458787:PQK458788 PGO458787:PGO458788 OWS458787:OWS458788 OMW458787:OMW458788 ODA458787:ODA458788 NTE458787:NTE458788 NJI458787:NJI458788 MZM458787:MZM458788 MPQ458787:MPQ458788 MFU458787:MFU458788 LVY458787:LVY458788 LMC458787:LMC458788 LCG458787:LCG458788 KSK458787:KSK458788 KIO458787:KIO458788 JYS458787:JYS458788 JOW458787:JOW458788 JFA458787:JFA458788 IVE458787:IVE458788 ILI458787:ILI458788 IBM458787:IBM458788 HRQ458787:HRQ458788 HHU458787:HHU458788 GXY458787:GXY458788 GOC458787:GOC458788 GEG458787:GEG458788 FUK458787:FUK458788 FKO458787:FKO458788 FAS458787:FAS458788 EQW458787:EQW458788 EHA458787:EHA458788 DXE458787:DXE458788 DNI458787:DNI458788 DDM458787:DDM458788 CTQ458787:CTQ458788 CJU458787:CJU458788 BZY458787:BZY458788 BQC458787:BQC458788 BGG458787:BGG458788 AWK458787:AWK458788 AMO458787:AMO458788 ACS458787:ACS458788 SW458787:SW458788 JA458787:JA458788 E458787:E458788 WVM393251:WVM393252 WLQ393251:WLQ393252 WBU393251:WBU393252 VRY393251:VRY393252 VIC393251:VIC393252 UYG393251:UYG393252 UOK393251:UOK393252 UEO393251:UEO393252 TUS393251:TUS393252 TKW393251:TKW393252 TBA393251:TBA393252 SRE393251:SRE393252 SHI393251:SHI393252 RXM393251:RXM393252 RNQ393251:RNQ393252 RDU393251:RDU393252 QTY393251:QTY393252 QKC393251:QKC393252 QAG393251:QAG393252 PQK393251:PQK393252 PGO393251:PGO393252 OWS393251:OWS393252 OMW393251:OMW393252 ODA393251:ODA393252 NTE393251:NTE393252 NJI393251:NJI393252 MZM393251:MZM393252 MPQ393251:MPQ393252 MFU393251:MFU393252 LVY393251:LVY393252 LMC393251:LMC393252 LCG393251:LCG393252 KSK393251:KSK393252 KIO393251:KIO393252 JYS393251:JYS393252 JOW393251:JOW393252 JFA393251:JFA393252 IVE393251:IVE393252 ILI393251:ILI393252 IBM393251:IBM393252 HRQ393251:HRQ393252 HHU393251:HHU393252 GXY393251:GXY393252 GOC393251:GOC393252 GEG393251:GEG393252 FUK393251:FUK393252 FKO393251:FKO393252 FAS393251:FAS393252 EQW393251:EQW393252 EHA393251:EHA393252 DXE393251:DXE393252 DNI393251:DNI393252 DDM393251:DDM393252 CTQ393251:CTQ393252 CJU393251:CJU393252 BZY393251:BZY393252 BQC393251:BQC393252 BGG393251:BGG393252 AWK393251:AWK393252 AMO393251:AMO393252 ACS393251:ACS393252 SW393251:SW393252 JA393251:JA393252 E393251:E393252 WVM327715:WVM327716 WLQ327715:WLQ327716 WBU327715:WBU327716 VRY327715:VRY327716 VIC327715:VIC327716 UYG327715:UYG327716 UOK327715:UOK327716 UEO327715:UEO327716 TUS327715:TUS327716 TKW327715:TKW327716 TBA327715:TBA327716 SRE327715:SRE327716 SHI327715:SHI327716 RXM327715:RXM327716 RNQ327715:RNQ327716 RDU327715:RDU327716 QTY327715:QTY327716 QKC327715:QKC327716 QAG327715:QAG327716 PQK327715:PQK327716 PGO327715:PGO327716 OWS327715:OWS327716 OMW327715:OMW327716 ODA327715:ODA327716 NTE327715:NTE327716 NJI327715:NJI327716 MZM327715:MZM327716 MPQ327715:MPQ327716 MFU327715:MFU327716 LVY327715:LVY327716 LMC327715:LMC327716 LCG327715:LCG327716 KSK327715:KSK327716 KIO327715:KIO327716 JYS327715:JYS327716 JOW327715:JOW327716 JFA327715:JFA327716 IVE327715:IVE327716 ILI327715:ILI327716 IBM327715:IBM327716 HRQ327715:HRQ327716 HHU327715:HHU327716 GXY327715:GXY327716 GOC327715:GOC327716 GEG327715:GEG327716 FUK327715:FUK327716 FKO327715:FKO327716 FAS327715:FAS327716 EQW327715:EQW327716 EHA327715:EHA327716 DXE327715:DXE327716 DNI327715:DNI327716 DDM327715:DDM327716 CTQ327715:CTQ327716 CJU327715:CJU327716 BZY327715:BZY327716 BQC327715:BQC327716 BGG327715:BGG327716 AWK327715:AWK327716 AMO327715:AMO327716 ACS327715:ACS327716 SW327715:SW327716 JA327715:JA327716 E327715:E327716 WVM262179:WVM262180 WLQ262179:WLQ262180 WBU262179:WBU262180 VRY262179:VRY262180 VIC262179:VIC262180 UYG262179:UYG262180 UOK262179:UOK262180 UEO262179:UEO262180 TUS262179:TUS262180 TKW262179:TKW262180 TBA262179:TBA262180 SRE262179:SRE262180 SHI262179:SHI262180 RXM262179:RXM262180 RNQ262179:RNQ262180 RDU262179:RDU262180 QTY262179:QTY262180 QKC262179:QKC262180 QAG262179:QAG262180 PQK262179:PQK262180 PGO262179:PGO262180 OWS262179:OWS262180 OMW262179:OMW262180 ODA262179:ODA262180 NTE262179:NTE262180 NJI262179:NJI262180 MZM262179:MZM262180 MPQ262179:MPQ262180 MFU262179:MFU262180 LVY262179:LVY262180 LMC262179:LMC262180 LCG262179:LCG262180 KSK262179:KSK262180 KIO262179:KIO262180 JYS262179:JYS262180 JOW262179:JOW262180 JFA262179:JFA262180 IVE262179:IVE262180 ILI262179:ILI262180 IBM262179:IBM262180 HRQ262179:HRQ262180 HHU262179:HHU262180 GXY262179:GXY262180 GOC262179:GOC262180 GEG262179:GEG262180 FUK262179:FUK262180 FKO262179:FKO262180 FAS262179:FAS262180 EQW262179:EQW262180 EHA262179:EHA262180 DXE262179:DXE262180 DNI262179:DNI262180 DDM262179:DDM262180 CTQ262179:CTQ262180 CJU262179:CJU262180 BZY262179:BZY262180 BQC262179:BQC262180 BGG262179:BGG262180 AWK262179:AWK262180 AMO262179:AMO262180 ACS262179:ACS262180 SW262179:SW262180 JA262179:JA262180 E262179:E262180 WVM196643:WVM196644 WLQ196643:WLQ196644 WBU196643:WBU196644 VRY196643:VRY196644 VIC196643:VIC196644 UYG196643:UYG196644 UOK196643:UOK196644 UEO196643:UEO196644 TUS196643:TUS196644 TKW196643:TKW196644 TBA196643:TBA196644 SRE196643:SRE196644 SHI196643:SHI196644 RXM196643:RXM196644 RNQ196643:RNQ196644 RDU196643:RDU196644 QTY196643:QTY196644 QKC196643:QKC196644 QAG196643:QAG196644 PQK196643:PQK196644 PGO196643:PGO196644 OWS196643:OWS196644 OMW196643:OMW196644 ODA196643:ODA196644 NTE196643:NTE196644 NJI196643:NJI196644 MZM196643:MZM196644 MPQ196643:MPQ196644 MFU196643:MFU196644 LVY196643:LVY196644 LMC196643:LMC196644 LCG196643:LCG196644 KSK196643:KSK196644 KIO196643:KIO196644 JYS196643:JYS196644 JOW196643:JOW196644 JFA196643:JFA196644 IVE196643:IVE196644 ILI196643:ILI196644 IBM196643:IBM196644 HRQ196643:HRQ196644 HHU196643:HHU196644 GXY196643:GXY196644 GOC196643:GOC196644 GEG196643:GEG196644 FUK196643:FUK196644 FKO196643:FKO196644 FAS196643:FAS196644 EQW196643:EQW196644 EHA196643:EHA196644 DXE196643:DXE196644 DNI196643:DNI196644 DDM196643:DDM196644 CTQ196643:CTQ196644 CJU196643:CJU196644 BZY196643:BZY196644 BQC196643:BQC196644 BGG196643:BGG196644 AWK196643:AWK196644 AMO196643:AMO196644 ACS196643:ACS196644 SW196643:SW196644 JA196643:JA196644 E196643:E196644 WVM131107:WVM131108 WLQ131107:WLQ131108 WBU131107:WBU131108 VRY131107:VRY131108 VIC131107:VIC131108 UYG131107:UYG131108 UOK131107:UOK131108 UEO131107:UEO131108 TUS131107:TUS131108 TKW131107:TKW131108 TBA131107:TBA131108 SRE131107:SRE131108 SHI131107:SHI131108 RXM131107:RXM131108 RNQ131107:RNQ131108 RDU131107:RDU131108 QTY131107:QTY131108 QKC131107:QKC131108 QAG131107:QAG131108 PQK131107:PQK131108 PGO131107:PGO131108 OWS131107:OWS131108 OMW131107:OMW131108 ODA131107:ODA131108 NTE131107:NTE131108 NJI131107:NJI131108 MZM131107:MZM131108 MPQ131107:MPQ131108 MFU131107:MFU131108 LVY131107:LVY131108 LMC131107:LMC131108 LCG131107:LCG131108 KSK131107:KSK131108 KIO131107:KIO131108 JYS131107:JYS131108 JOW131107:JOW131108 JFA131107:JFA131108 IVE131107:IVE131108 ILI131107:ILI131108 IBM131107:IBM131108 HRQ131107:HRQ131108 HHU131107:HHU131108 GXY131107:GXY131108 GOC131107:GOC131108 GEG131107:GEG131108 FUK131107:FUK131108 FKO131107:FKO131108 FAS131107:FAS131108 EQW131107:EQW131108 EHA131107:EHA131108 DXE131107:DXE131108 DNI131107:DNI131108 DDM131107:DDM131108 CTQ131107:CTQ131108 CJU131107:CJU131108 BZY131107:BZY131108 BQC131107:BQC131108 BGG131107:BGG131108 AWK131107:AWK131108 AMO131107:AMO131108 ACS131107:ACS131108 SW131107:SW131108 JA131107:JA131108 E131107:E131108 WVM65571:WVM65572 WLQ65571:WLQ65572 WBU65571:WBU65572 VRY65571:VRY65572 VIC65571:VIC65572 UYG65571:UYG65572 UOK65571:UOK65572 UEO65571:UEO65572 TUS65571:TUS65572 TKW65571:TKW65572 TBA65571:TBA65572 SRE65571:SRE65572 SHI65571:SHI65572 RXM65571:RXM65572 RNQ65571:RNQ65572 RDU65571:RDU65572 QTY65571:QTY65572 QKC65571:QKC65572 QAG65571:QAG65572 PQK65571:PQK65572 PGO65571:PGO65572 OWS65571:OWS65572 OMW65571:OMW65572 ODA65571:ODA65572 NTE65571:NTE65572 NJI65571:NJI65572 MZM65571:MZM65572 MPQ65571:MPQ65572 MFU65571:MFU65572 LVY65571:LVY65572 LMC65571:LMC65572 LCG65571:LCG65572 KSK65571:KSK65572 KIO65571:KIO65572 JYS65571:JYS65572 JOW65571:JOW65572 JFA65571:JFA65572 IVE65571:IVE65572 ILI65571:ILI65572 IBM65571:IBM65572 HRQ65571:HRQ65572 HHU65571:HHU65572 GXY65571:GXY65572 GOC65571:GOC65572 GEG65571:GEG65572 FUK65571:FUK65572 FKO65571:FKO65572 FAS65571:FAS65572 EQW65571:EQW65572 EHA65571:EHA65572 DXE65571:DXE65572 DNI65571:DNI65572 DDM65571:DDM65572 CTQ65571:CTQ65572 CJU65571:CJU65572 BZY65571:BZY65572 BQC65571:BQC65572 BGG65571:BGG65572 AWK65571:AWK65572 AMO65571:AMO65572 ACS65571:ACS65572 SW65571:SW65572 JA65571:JA65572 E65571:E65572 WVM35:WVM36 WLQ35:WLQ36 WBU35:WBU36 VRY35:VRY36 VIC35:VIC36 UYG35:UYG36 UOK35:UOK36 UEO35:UEO36 TUS35:TUS36 TKW35:TKW36 TBA35:TBA36 SRE35:SRE36 SHI35:SHI36 RXM35:RXM36 RNQ35:RNQ36 RDU35:RDU36 QTY35:QTY36 QKC35:QKC36 QAG35:QAG36 PQK35:PQK36 PGO35:PGO36 OWS35:OWS36 OMW35:OMW36 ODA35:ODA36 NTE35:NTE36 NJI35:NJI36 MZM35:MZM36 MPQ35:MPQ36 MFU35:MFU36 LVY35:LVY36 LMC35:LMC36 LCG35:LCG36 KSK35:KSK36 KIO35:KIO36 JYS35:JYS36 JOW35:JOW36 JFA35:JFA36 IVE35:IVE36 ILI35:ILI36 IBM35:IBM36 HRQ35:HRQ36 HHU35:HHU36 GXY35:GXY36 GOC35:GOC36 GEG35:GEG36 FUK35:FUK36 FKO35:FKO36 FAS35:FAS36 EQW35:EQW36 EHA35:EHA36 DXE35:DXE36 DNI35:DNI36 DDM35:DDM36 CTQ35:CTQ36 CJU35:CJU36 BZY35:BZY36 BQC35:BQC36 BGG35:BGG36 AWK35:AWK36 AMO35:AMO36 ACS35:ACS36 SW35:SW36 JA35:JA36">
      <formula1>yesno</formula1>
    </dataValidation>
    <dataValidation type="list" allowBlank="1" showInputMessage="1" showErrorMessage="1" sqref="WBU983100 G40:G100 VRY983100 VIC983100 UYG983100 UOK983100 UEO983100 TUS983100 TKW983100 TBA983100 SRE983100 SHI983100 RXM983100 RNQ983100 RDU983100 QTY983100 QKC983100 QAG983100 PQK983100 PGO983100 OWS983100 OMW983100 ODA983100 NTE983100 NJI983100 MZM983100 MPQ983100 MFU983100 LVY983100 LMC983100 LCG983100 KSK983100 KIO983100 JYS983100 JOW983100 JFA983100 IVE983100 ILI983100 IBM983100 HRQ983100 HHU983100 GXY983100 GOC983100 GEG983100 FUK983100 FKO983100 FAS983100 EQW983100 EHA983100 DXE983100 DNI983100 DDM983100 CTQ983100 CJU983100 BZY983100 BQC983100 BGG983100 AWK983100 AMO983100 ACS983100 SW983100 JA983100 E983100 WVM917564 WLQ917564 WBU917564 VRY917564 VIC917564 UYG917564 UOK917564 UEO917564 TUS917564 TKW917564 TBA917564 SRE917564 SHI917564 RXM917564 RNQ917564 RDU917564 QTY917564 QKC917564 QAG917564 PQK917564 PGO917564 OWS917564 OMW917564 ODA917564 NTE917564 NJI917564 MZM917564 MPQ917564 MFU917564 LVY917564 LMC917564 LCG917564 KSK917564 KIO917564 JYS917564 JOW917564 JFA917564 IVE917564 ILI917564 IBM917564 HRQ917564 HHU917564 GXY917564 GOC917564 GEG917564 FUK917564 FKO917564 FAS917564 EQW917564 EHA917564 DXE917564 DNI917564 DDM917564 CTQ917564 CJU917564 BZY917564 BQC917564 BGG917564 AWK917564 AMO917564 ACS917564 SW917564 JA917564 E917564 WVM852028 WLQ852028 WBU852028 VRY852028 VIC852028 UYG852028 UOK852028 UEO852028 TUS852028 TKW852028 TBA852028 SRE852028 SHI852028 RXM852028 RNQ852028 RDU852028 QTY852028 QKC852028 QAG852028 PQK852028 PGO852028 OWS852028 OMW852028 ODA852028 NTE852028 NJI852028 MZM852028 MPQ852028 MFU852028 LVY852028 LMC852028 LCG852028 KSK852028 KIO852028 JYS852028 JOW852028 JFA852028 IVE852028 ILI852028 IBM852028 HRQ852028 HHU852028 GXY852028 GOC852028 GEG852028 FUK852028 FKO852028 FAS852028 EQW852028 EHA852028 DXE852028 DNI852028 DDM852028 CTQ852028 CJU852028 BZY852028 BQC852028 BGG852028 AWK852028 AMO852028 ACS852028 SW852028 JA852028 E852028 WVM786492 WLQ786492 WBU786492 VRY786492 VIC786492 UYG786492 UOK786492 UEO786492 TUS786492 TKW786492 TBA786492 SRE786492 SHI786492 RXM786492 RNQ786492 RDU786492 QTY786492 QKC786492 QAG786492 PQK786492 PGO786492 OWS786492 OMW786492 ODA786492 NTE786492 NJI786492 MZM786492 MPQ786492 MFU786492 LVY786492 LMC786492 LCG786492 KSK786492 KIO786492 JYS786492 JOW786492 JFA786492 IVE786492 ILI786492 IBM786492 HRQ786492 HHU786492 GXY786492 GOC786492 GEG786492 FUK786492 FKO786492 FAS786492 EQW786492 EHA786492 DXE786492 DNI786492 DDM786492 CTQ786492 CJU786492 BZY786492 BQC786492 BGG786492 AWK786492 AMO786492 ACS786492 SW786492 JA786492 E786492 WVM720956 WLQ720956 WBU720956 VRY720956 VIC720956 UYG720956 UOK720956 UEO720956 TUS720956 TKW720956 TBA720956 SRE720956 SHI720956 RXM720956 RNQ720956 RDU720956 QTY720956 QKC720956 QAG720956 PQK720956 PGO720956 OWS720956 OMW720956 ODA720956 NTE720956 NJI720956 MZM720956 MPQ720956 MFU720956 LVY720956 LMC720956 LCG720956 KSK720956 KIO720956 JYS720956 JOW720956 JFA720956 IVE720956 ILI720956 IBM720956 HRQ720956 HHU720956 GXY720956 GOC720956 GEG720956 FUK720956 FKO720956 FAS720956 EQW720956 EHA720956 DXE720956 DNI720956 DDM720956 CTQ720956 CJU720956 BZY720956 BQC720956 BGG720956 AWK720956 AMO720956 ACS720956 SW720956 JA720956 E720956 WVM655420 WLQ655420 WBU655420 VRY655420 VIC655420 UYG655420 UOK655420 UEO655420 TUS655420 TKW655420 TBA655420 SRE655420 SHI655420 RXM655420 RNQ655420 RDU655420 QTY655420 QKC655420 QAG655420 PQK655420 PGO655420 OWS655420 OMW655420 ODA655420 NTE655420 NJI655420 MZM655420 MPQ655420 MFU655420 LVY655420 LMC655420 LCG655420 KSK655420 KIO655420 JYS655420 JOW655420 JFA655420 IVE655420 ILI655420 IBM655420 HRQ655420 HHU655420 GXY655420 GOC655420 GEG655420 FUK655420 FKO655420 FAS655420 EQW655420 EHA655420 DXE655420 DNI655420 DDM655420 CTQ655420 CJU655420 BZY655420 BQC655420 BGG655420 AWK655420 AMO655420 ACS655420 SW655420 JA655420 E655420 WVM589884 WLQ589884 WBU589884 VRY589884 VIC589884 UYG589884 UOK589884 UEO589884 TUS589884 TKW589884 TBA589884 SRE589884 SHI589884 RXM589884 RNQ589884 RDU589884 QTY589884 QKC589884 QAG589884 PQK589884 PGO589884 OWS589884 OMW589884 ODA589884 NTE589884 NJI589884 MZM589884 MPQ589884 MFU589884 LVY589884 LMC589884 LCG589884 KSK589884 KIO589884 JYS589884 JOW589884 JFA589884 IVE589884 ILI589884 IBM589884 HRQ589884 HHU589884 GXY589884 GOC589884 GEG589884 FUK589884 FKO589884 FAS589884 EQW589884 EHA589884 DXE589884 DNI589884 DDM589884 CTQ589884 CJU589884 BZY589884 BQC589884 BGG589884 AWK589884 AMO589884 ACS589884 SW589884 JA589884 E589884 WVM524348 WLQ524348 WBU524348 VRY524348 VIC524348 UYG524348 UOK524348 UEO524348 TUS524348 TKW524348 TBA524348 SRE524348 SHI524348 RXM524348 RNQ524348 RDU524348 QTY524348 QKC524348 QAG524348 PQK524348 PGO524348 OWS524348 OMW524348 ODA524348 NTE524348 NJI524348 MZM524348 MPQ524348 MFU524348 LVY524348 LMC524348 LCG524348 KSK524348 KIO524348 JYS524348 JOW524348 JFA524348 IVE524348 ILI524348 IBM524348 HRQ524348 HHU524348 GXY524348 GOC524348 GEG524348 FUK524348 FKO524348 FAS524348 EQW524348 EHA524348 DXE524348 DNI524348 DDM524348 CTQ524348 CJU524348 BZY524348 BQC524348 BGG524348 AWK524348 AMO524348 ACS524348 SW524348 JA524348 E524348 WVM458812 WLQ458812 WBU458812 VRY458812 VIC458812 UYG458812 UOK458812 UEO458812 TUS458812 TKW458812 TBA458812 SRE458812 SHI458812 RXM458812 RNQ458812 RDU458812 QTY458812 QKC458812 QAG458812 PQK458812 PGO458812 OWS458812 OMW458812 ODA458812 NTE458812 NJI458812 MZM458812 MPQ458812 MFU458812 LVY458812 LMC458812 LCG458812 KSK458812 KIO458812 JYS458812 JOW458812 JFA458812 IVE458812 ILI458812 IBM458812 HRQ458812 HHU458812 GXY458812 GOC458812 GEG458812 FUK458812 FKO458812 FAS458812 EQW458812 EHA458812 DXE458812 DNI458812 DDM458812 CTQ458812 CJU458812 BZY458812 BQC458812 BGG458812 AWK458812 AMO458812 ACS458812 SW458812 JA458812 E458812 WVM393276 WLQ393276 WBU393276 VRY393276 VIC393276 UYG393276 UOK393276 UEO393276 TUS393276 TKW393276 TBA393276 SRE393276 SHI393276 RXM393276 RNQ393276 RDU393276 QTY393276 QKC393276 QAG393276 PQK393276 PGO393276 OWS393276 OMW393276 ODA393276 NTE393276 NJI393276 MZM393276 MPQ393276 MFU393276 LVY393276 LMC393276 LCG393276 KSK393276 KIO393276 JYS393276 JOW393276 JFA393276 IVE393276 ILI393276 IBM393276 HRQ393276 HHU393276 GXY393276 GOC393276 GEG393276 FUK393276 FKO393276 FAS393276 EQW393276 EHA393276 DXE393276 DNI393276 DDM393276 CTQ393276 CJU393276 BZY393276 BQC393276 BGG393276 AWK393276 AMO393276 ACS393276 SW393276 JA393276 E393276 WVM327740 WLQ327740 WBU327740 VRY327740 VIC327740 UYG327740 UOK327740 UEO327740 TUS327740 TKW327740 TBA327740 SRE327740 SHI327740 RXM327740 RNQ327740 RDU327740 QTY327740 QKC327740 QAG327740 PQK327740 PGO327740 OWS327740 OMW327740 ODA327740 NTE327740 NJI327740 MZM327740 MPQ327740 MFU327740 LVY327740 LMC327740 LCG327740 KSK327740 KIO327740 JYS327740 JOW327740 JFA327740 IVE327740 ILI327740 IBM327740 HRQ327740 HHU327740 GXY327740 GOC327740 GEG327740 FUK327740 FKO327740 FAS327740 EQW327740 EHA327740 DXE327740 DNI327740 DDM327740 CTQ327740 CJU327740 BZY327740 BQC327740 BGG327740 AWK327740 AMO327740 ACS327740 SW327740 JA327740 E327740 WVM262204 WLQ262204 WBU262204 VRY262204 VIC262204 UYG262204 UOK262204 UEO262204 TUS262204 TKW262204 TBA262204 SRE262204 SHI262204 RXM262204 RNQ262204 RDU262204 QTY262204 QKC262204 QAG262204 PQK262204 PGO262204 OWS262204 OMW262204 ODA262204 NTE262204 NJI262204 MZM262204 MPQ262204 MFU262204 LVY262204 LMC262204 LCG262204 KSK262204 KIO262204 JYS262204 JOW262204 JFA262204 IVE262204 ILI262204 IBM262204 HRQ262204 HHU262204 GXY262204 GOC262204 GEG262204 FUK262204 FKO262204 FAS262204 EQW262204 EHA262204 DXE262204 DNI262204 DDM262204 CTQ262204 CJU262204 BZY262204 BQC262204 BGG262204 AWK262204 AMO262204 ACS262204 SW262204 JA262204 E262204 WVM196668 WLQ196668 WBU196668 VRY196668 VIC196668 UYG196668 UOK196668 UEO196668 TUS196668 TKW196668 TBA196668 SRE196668 SHI196668 RXM196668 RNQ196668 RDU196668 QTY196668 QKC196668 QAG196668 PQK196668 PGO196668 OWS196668 OMW196668 ODA196668 NTE196668 NJI196668 MZM196668 MPQ196668 MFU196668 LVY196668 LMC196668 LCG196668 KSK196668 KIO196668 JYS196668 JOW196668 JFA196668 IVE196668 ILI196668 IBM196668 HRQ196668 HHU196668 GXY196668 GOC196668 GEG196668 FUK196668 FKO196668 FAS196668 EQW196668 EHA196668 DXE196668 DNI196668 DDM196668 CTQ196668 CJU196668 BZY196668 BQC196668 BGG196668 AWK196668 AMO196668 ACS196668 SW196668 JA196668 E196668 WVM131132 WLQ131132 WBU131132 VRY131132 VIC131132 UYG131132 UOK131132 UEO131132 TUS131132 TKW131132 TBA131132 SRE131132 SHI131132 RXM131132 RNQ131132 RDU131132 QTY131132 QKC131132 QAG131132 PQK131132 PGO131132 OWS131132 OMW131132 ODA131132 NTE131132 NJI131132 MZM131132 MPQ131132 MFU131132 LVY131132 LMC131132 LCG131132 KSK131132 KIO131132 JYS131132 JOW131132 JFA131132 IVE131132 ILI131132 IBM131132 HRQ131132 HHU131132 GXY131132 GOC131132 GEG131132 FUK131132 FKO131132 FAS131132 EQW131132 EHA131132 DXE131132 DNI131132 DDM131132 CTQ131132 CJU131132 BZY131132 BQC131132 BGG131132 AWK131132 AMO131132 ACS131132 SW131132 JA131132 E131132 WVM65596 WLQ65596 WBU65596 VRY65596 VIC65596 UYG65596 UOK65596 UEO65596 TUS65596 TKW65596 TBA65596 SRE65596 SHI65596 RXM65596 RNQ65596 RDU65596 QTY65596 QKC65596 QAG65596 PQK65596 PGO65596 OWS65596 OMW65596 ODA65596 NTE65596 NJI65596 MZM65596 MPQ65596 MFU65596 LVY65596 LMC65596 LCG65596 KSK65596 KIO65596 JYS65596 JOW65596 JFA65596 IVE65596 ILI65596 IBM65596 HRQ65596 HHU65596 GXY65596 GOC65596 GEG65596 FUK65596 FKO65596 FAS65596 EQW65596 EHA65596 DXE65596 DNI65596 DDM65596 CTQ65596 CJU65596 BZY65596 BQC65596 BGG65596 AWK65596 AMO65596 ACS65596 SW65596 JA65596 E65596 WVM60 WLQ60 WBU60 VRY60 VIC60 UYG60 UOK60 UEO60 TUS60 TKW60 TBA60 SRE60 SHI60 RXM60 RNQ60 RDU60 QTY60 QKC60 QAG60 PQK60 PGO60 OWS60 OMW60 ODA60 NTE60 NJI60 MZM60 MPQ60 MFU60 LVY60 LMC60 LCG60 KSK60 KIO60 JYS60 JOW60 JFA60 IVE60 ILI60 IBM60 HRQ60 HHU60 GXY60 GOC60 GEG60 FUK60 FKO60 FAS60 EQW60 EHA60 DXE60 DNI60 DDM60 CTQ60 CJU60 BZY60 BQC60 BGG60 AWK60 AMO60 ACS60 SW60 JA60 WVM983100 WVM983103 WLQ983103 WBU983103 VRY983103 VIC983103 UYG983103 UOK983103 UEO983103 TUS983103 TKW983103 TBA983103 SRE983103 SHI983103 RXM983103 RNQ983103 RDU983103 QTY983103 QKC983103 QAG983103 PQK983103 PGO983103 OWS983103 OMW983103 ODA983103 NTE983103 NJI983103 MZM983103 MPQ983103 MFU983103 LVY983103 LMC983103 LCG983103 KSK983103 KIO983103 JYS983103 JOW983103 JFA983103 IVE983103 ILI983103 IBM983103 HRQ983103 HHU983103 GXY983103 GOC983103 GEG983103 FUK983103 FKO983103 FAS983103 EQW983103 EHA983103 DXE983103 DNI983103 DDM983103 CTQ983103 CJU983103 BZY983103 BQC983103 BGG983103 AWK983103 AMO983103 ACS983103 SW983103 JA983103 E983103 WVM917567 WLQ917567 WBU917567 VRY917567 VIC917567 UYG917567 UOK917567 UEO917567 TUS917567 TKW917567 TBA917567 SRE917567 SHI917567 RXM917567 RNQ917567 RDU917567 QTY917567 QKC917567 QAG917567 PQK917567 PGO917567 OWS917567 OMW917567 ODA917567 NTE917567 NJI917567 MZM917567 MPQ917567 MFU917567 LVY917567 LMC917567 LCG917567 KSK917567 KIO917567 JYS917567 JOW917567 JFA917567 IVE917567 ILI917567 IBM917567 HRQ917567 HHU917567 GXY917567 GOC917567 GEG917567 FUK917567 FKO917567 FAS917567 EQW917567 EHA917567 DXE917567 DNI917567 DDM917567 CTQ917567 CJU917567 BZY917567 BQC917567 BGG917567 AWK917567 AMO917567 ACS917567 SW917567 JA917567 E917567 WVM852031 WLQ852031 WBU852031 VRY852031 VIC852031 UYG852031 UOK852031 UEO852031 TUS852031 TKW852031 TBA852031 SRE852031 SHI852031 RXM852031 RNQ852031 RDU852031 QTY852031 QKC852031 QAG852031 PQK852031 PGO852031 OWS852031 OMW852031 ODA852031 NTE852031 NJI852031 MZM852031 MPQ852031 MFU852031 LVY852031 LMC852031 LCG852031 KSK852031 KIO852031 JYS852031 JOW852031 JFA852031 IVE852031 ILI852031 IBM852031 HRQ852031 HHU852031 GXY852031 GOC852031 GEG852031 FUK852031 FKO852031 FAS852031 EQW852031 EHA852031 DXE852031 DNI852031 DDM852031 CTQ852031 CJU852031 BZY852031 BQC852031 BGG852031 AWK852031 AMO852031 ACS852031 SW852031 JA852031 E852031 WVM786495 WLQ786495 WBU786495 VRY786495 VIC786495 UYG786495 UOK786495 UEO786495 TUS786495 TKW786495 TBA786495 SRE786495 SHI786495 RXM786495 RNQ786495 RDU786495 QTY786495 QKC786495 QAG786495 PQK786495 PGO786495 OWS786495 OMW786495 ODA786495 NTE786495 NJI786495 MZM786495 MPQ786495 MFU786495 LVY786495 LMC786495 LCG786495 KSK786495 KIO786495 JYS786495 JOW786495 JFA786495 IVE786495 ILI786495 IBM786495 HRQ786495 HHU786495 GXY786495 GOC786495 GEG786495 FUK786495 FKO786495 FAS786495 EQW786495 EHA786495 DXE786495 DNI786495 DDM786495 CTQ786495 CJU786495 BZY786495 BQC786495 BGG786495 AWK786495 AMO786495 ACS786495 SW786495 JA786495 E786495 WVM720959 WLQ720959 WBU720959 VRY720959 VIC720959 UYG720959 UOK720959 UEO720959 TUS720959 TKW720959 TBA720959 SRE720959 SHI720959 RXM720959 RNQ720959 RDU720959 QTY720959 QKC720959 QAG720959 PQK720959 PGO720959 OWS720959 OMW720959 ODA720959 NTE720959 NJI720959 MZM720959 MPQ720959 MFU720959 LVY720959 LMC720959 LCG720959 KSK720959 KIO720959 JYS720959 JOW720959 JFA720959 IVE720959 ILI720959 IBM720959 HRQ720959 HHU720959 GXY720959 GOC720959 GEG720959 FUK720959 FKO720959 FAS720959 EQW720959 EHA720959 DXE720959 DNI720959 DDM720959 CTQ720959 CJU720959 BZY720959 BQC720959 BGG720959 AWK720959 AMO720959 ACS720959 SW720959 JA720959 E720959 WVM655423 WLQ655423 WBU655423 VRY655423 VIC655423 UYG655423 UOK655423 UEO655423 TUS655423 TKW655423 TBA655423 SRE655423 SHI655423 RXM655423 RNQ655423 RDU655423 QTY655423 QKC655423 QAG655423 PQK655423 PGO655423 OWS655423 OMW655423 ODA655423 NTE655423 NJI655423 MZM655423 MPQ655423 MFU655423 LVY655423 LMC655423 LCG655423 KSK655423 KIO655423 JYS655423 JOW655423 JFA655423 IVE655423 ILI655423 IBM655423 HRQ655423 HHU655423 GXY655423 GOC655423 GEG655423 FUK655423 FKO655423 FAS655423 EQW655423 EHA655423 DXE655423 DNI655423 DDM655423 CTQ655423 CJU655423 BZY655423 BQC655423 BGG655423 AWK655423 AMO655423 ACS655423 SW655423 JA655423 E655423 WVM589887 WLQ589887 WBU589887 VRY589887 VIC589887 UYG589887 UOK589887 UEO589887 TUS589887 TKW589887 TBA589887 SRE589887 SHI589887 RXM589887 RNQ589887 RDU589887 QTY589887 QKC589887 QAG589887 PQK589887 PGO589887 OWS589887 OMW589887 ODA589887 NTE589887 NJI589887 MZM589887 MPQ589887 MFU589887 LVY589887 LMC589887 LCG589887 KSK589887 KIO589887 JYS589887 JOW589887 JFA589887 IVE589887 ILI589887 IBM589887 HRQ589887 HHU589887 GXY589887 GOC589887 GEG589887 FUK589887 FKO589887 FAS589887 EQW589887 EHA589887 DXE589887 DNI589887 DDM589887 CTQ589887 CJU589887 BZY589887 BQC589887 BGG589887 AWK589887 AMO589887 ACS589887 SW589887 JA589887 E589887 WVM524351 WLQ524351 WBU524351 VRY524351 VIC524351 UYG524351 UOK524351 UEO524351 TUS524351 TKW524351 TBA524351 SRE524351 SHI524351 RXM524351 RNQ524351 RDU524351 QTY524351 QKC524351 QAG524351 PQK524351 PGO524351 OWS524351 OMW524351 ODA524351 NTE524351 NJI524351 MZM524351 MPQ524351 MFU524351 LVY524351 LMC524351 LCG524351 KSK524351 KIO524351 JYS524351 JOW524351 JFA524351 IVE524351 ILI524351 IBM524351 HRQ524351 HHU524351 GXY524351 GOC524351 GEG524351 FUK524351 FKO524351 FAS524351 EQW524351 EHA524351 DXE524351 DNI524351 DDM524351 CTQ524351 CJU524351 BZY524351 BQC524351 BGG524351 AWK524351 AMO524351 ACS524351 SW524351 JA524351 E524351 WVM458815 WLQ458815 WBU458815 VRY458815 VIC458815 UYG458815 UOK458815 UEO458815 TUS458815 TKW458815 TBA458815 SRE458815 SHI458815 RXM458815 RNQ458815 RDU458815 QTY458815 QKC458815 QAG458815 PQK458815 PGO458815 OWS458815 OMW458815 ODA458815 NTE458815 NJI458815 MZM458815 MPQ458815 MFU458815 LVY458815 LMC458815 LCG458815 KSK458815 KIO458815 JYS458815 JOW458815 JFA458815 IVE458815 ILI458815 IBM458815 HRQ458815 HHU458815 GXY458815 GOC458815 GEG458815 FUK458815 FKO458815 FAS458815 EQW458815 EHA458815 DXE458815 DNI458815 DDM458815 CTQ458815 CJU458815 BZY458815 BQC458815 BGG458815 AWK458815 AMO458815 ACS458815 SW458815 JA458815 E458815 WVM393279 WLQ393279 WBU393279 VRY393279 VIC393279 UYG393279 UOK393279 UEO393279 TUS393279 TKW393279 TBA393279 SRE393279 SHI393279 RXM393279 RNQ393279 RDU393279 QTY393279 QKC393279 QAG393279 PQK393279 PGO393279 OWS393279 OMW393279 ODA393279 NTE393279 NJI393279 MZM393279 MPQ393279 MFU393279 LVY393279 LMC393279 LCG393279 KSK393279 KIO393279 JYS393279 JOW393279 JFA393279 IVE393279 ILI393279 IBM393279 HRQ393279 HHU393279 GXY393279 GOC393279 GEG393279 FUK393279 FKO393279 FAS393279 EQW393279 EHA393279 DXE393279 DNI393279 DDM393279 CTQ393279 CJU393279 BZY393279 BQC393279 BGG393279 AWK393279 AMO393279 ACS393279 SW393279 JA393279 E393279 WVM327743 WLQ327743 WBU327743 VRY327743 VIC327743 UYG327743 UOK327743 UEO327743 TUS327743 TKW327743 TBA327743 SRE327743 SHI327743 RXM327743 RNQ327743 RDU327743 QTY327743 QKC327743 QAG327743 PQK327743 PGO327743 OWS327743 OMW327743 ODA327743 NTE327743 NJI327743 MZM327743 MPQ327743 MFU327743 LVY327743 LMC327743 LCG327743 KSK327743 KIO327743 JYS327743 JOW327743 JFA327743 IVE327743 ILI327743 IBM327743 HRQ327743 HHU327743 GXY327743 GOC327743 GEG327743 FUK327743 FKO327743 FAS327743 EQW327743 EHA327743 DXE327743 DNI327743 DDM327743 CTQ327743 CJU327743 BZY327743 BQC327743 BGG327743 AWK327743 AMO327743 ACS327743 SW327743 JA327743 E327743 WVM262207 WLQ262207 WBU262207 VRY262207 VIC262207 UYG262207 UOK262207 UEO262207 TUS262207 TKW262207 TBA262207 SRE262207 SHI262207 RXM262207 RNQ262207 RDU262207 QTY262207 QKC262207 QAG262207 PQK262207 PGO262207 OWS262207 OMW262207 ODA262207 NTE262207 NJI262207 MZM262207 MPQ262207 MFU262207 LVY262207 LMC262207 LCG262207 KSK262207 KIO262207 JYS262207 JOW262207 JFA262207 IVE262207 ILI262207 IBM262207 HRQ262207 HHU262207 GXY262207 GOC262207 GEG262207 FUK262207 FKO262207 FAS262207 EQW262207 EHA262207 DXE262207 DNI262207 DDM262207 CTQ262207 CJU262207 BZY262207 BQC262207 BGG262207 AWK262207 AMO262207 ACS262207 SW262207 JA262207 E262207 WVM196671 WLQ196671 WBU196671 VRY196671 VIC196671 UYG196671 UOK196671 UEO196671 TUS196671 TKW196671 TBA196671 SRE196671 SHI196671 RXM196671 RNQ196671 RDU196671 QTY196671 QKC196671 QAG196671 PQK196671 PGO196671 OWS196671 OMW196671 ODA196671 NTE196671 NJI196671 MZM196671 MPQ196671 MFU196671 LVY196671 LMC196671 LCG196671 KSK196671 KIO196671 JYS196671 JOW196671 JFA196671 IVE196671 ILI196671 IBM196671 HRQ196671 HHU196671 GXY196671 GOC196671 GEG196671 FUK196671 FKO196671 FAS196671 EQW196671 EHA196671 DXE196671 DNI196671 DDM196671 CTQ196671 CJU196671 BZY196671 BQC196671 BGG196671 AWK196671 AMO196671 ACS196671 SW196671 JA196671 E196671 WVM131135 WLQ131135 WBU131135 VRY131135 VIC131135 UYG131135 UOK131135 UEO131135 TUS131135 TKW131135 TBA131135 SRE131135 SHI131135 RXM131135 RNQ131135 RDU131135 QTY131135 QKC131135 QAG131135 PQK131135 PGO131135 OWS131135 OMW131135 ODA131135 NTE131135 NJI131135 MZM131135 MPQ131135 MFU131135 LVY131135 LMC131135 LCG131135 KSK131135 KIO131135 JYS131135 JOW131135 JFA131135 IVE131135 ILI131135 IBM131135 HRQ131135 HHU131135 GXY131135 GOC131135 GEG131135 FUK131135 FKO131135 FAS131135 EQW131135 EHA131135 DXE131135 DNI131135 DDM131135 CTQ131135 CJU131135 BZY131135 BQC131135 BGG131135 AWK131135 AMO131135 ACS131135 SW131135 JA131135 E131135 WVM65599 WLQ65599 WBU65599 VRY65599 VIC65599 UYG65599 UOK65599 UEO65599 TUS65599 TKW65599 TBA65599 SRE65599 SHI65599 RXM65599 RNQ65599 RDU65599 QTY65599 QKC65599 QAG65599 PQK65599 PGO65599 OWS65599 OMW65599 ODA65599 NTE65599 NJI65599 MZM65599 MPQ65599 MFU65599 LVY65599 LMC65599 LCG65599 KSK65599 KIO65599 JYS65599 JOW65599 JFA65599 IVE65599 ILI65599 IBM65599 HRQ65599 HHU65599 GXY65599 GOC65599 GEG65599 FUK65599 FKO65599 FAS65599 EQW65599 EHA65599 DXE65599 DNI65599 DDM65599 CTQ65599 CJU65599 BZY65599 BQC65599 BGG65599 AWK65599 AMO65599 ACS65599 SW65599 JA65599 E65599 WVM63 WLQ63 WBU63 VRY63 VIC63 UYG63 UOK63 UEO63 TUS63 TKW63 TBA63 SRE63 SHI63 RXM63 RNQ63 RDU63 QTY63 QKC63 QAG63 PQK63 PGO63 OWS63 OMW63 ODA63 NTE63 NJI63 MZM63 MPQ63 MFU63 LVY63 LMC63 LCG63 KSK63 KIO63 JYS63 JOW63 JFA63 IVE63 ILI63 IBM63 HRQ63 HHU63 GXY63 GOC63 GEG63 FUK63 FKO63 FAS63 EQW63 EHA63 DXE63 DNI63 DDM63 CTQ63 CJU63 BZY63 BQC63 BGG63 AWK63 AMO63 ACS63 SW63 JA63 WLQ983100 WVN983090:WVN983521 WLR983090:WLR983521 WBV983090:WBV983521 VRZ983090:VRZ983521 VID983090:VID983521 UYH983090:UYH983521 UOL983090:UOL983521 UEP983090:UEP983521 TUT983090:TUT983521 TKX983090:TKX983521 TBB983090:TBB983521 SRF983090:SRF983521 SHJ983090:SHJ983521 RXN983090:RXN983521 RNR983090:RNR983521 RDV983090:RDV983521 QTZ983090:QTZ983521 QKD983090:QKD983521 QAH983090:QAH983521 PQL983090:PQL983521 PGP983090:PGP983521 OWT983090:OWT983521 OMX983090:OMX983521 ODB983090:ODB983521 NTF983090:NTF983521 NJJ983090:NJJ983521 MZN983090:MZN983521 MPR983090:MPR983521 MFV983090:MFV983521 LVZ983090:LVZ983521 LMD983090:LMD983521 LCH983090:LCH983521 KSL983090:KSL983521 KIP983090:KIP983521 JYT983090:JYT983521 JOX983090:JOX983521 JFB983090:JFB983521 IVF983090:IVF983521 ILJ983090:ILJ983521 IBN983090:IBN983521 HRR983090:HRR983521 HHV983090:HHV983521 GXZ983090:GXZ983521 GOD983090:GOD983521 GEH983090:GEH983521 FUL983090:FUL983521 FKP983090:FKP983521 FAT983090:FAT983521 EQX983090:EQX983521 EHB983090:EHB983521 DXF983090:DXF983521 DNJ983090:DNJ983521 DDN983090:DDN983521 CTR983090:CTR983521 CJV983090:CJV983521 BZZ983090:BZZ983521 BQD983090:BQD983521 BGH983090:BGH983521 AWL983090:AWL983521 AMP983090:AMP983521 ACT983090:ACT983521 SX983090:SX983521 JB983090:JB983521 F983090:F983521 WVN917554:WVN917985 WLR917554:WLR917985 WBV917554:WBV917985 VRZ917554:VRZ917985 VID917554:VID917985 UYH917554:UYH917985 UOL917554:UOL917985 UEP917554:UEP917985 TUT917554:TUT917985 TKX917554:TKX917985 TBB917554:TBB917985 SRF917554:SRF917985 SHJ917554:SHJ917985 RXN917554:RXN917985 RNR917554:RNR917985 RDV917554:RDV917985 QTZ917554:QTZ917985 QKD917554:QKD917985 QAH917554:QAH917985 PQL917554:PQL917985 PGP917554:PGP917985 OWT917554:OWT917985 OMX917554:OMX917985 ODB917554:ODB917985 NTF917554:NTF917985 NJJ917554:NJJ917985 MZN917554:MZN917985 MPR917554:MPR917985 MFV917554:MFV917985 LVZ917554:LVZ917985 LMD917554:LMD917985 LCH917554:LCH917985 KSL917554:KSL917985 KIP917554:KIP917985 JYT917554:JYT917985 JOX917554:JOX917985 JFB917554:JFB917985 IVF917554:IVF917985 ILJ917554:ILJ917985 IBN917554:IBN917985 HRR917554:HRR917985 HHV917554:HHV917985 GXZ917554:GXZ917985 GOD917554:GOD917985 GEH917554:GEH917985 FUL917554:FUL917985 FKP917554:FKP917985 FAT917554:FAT917985 EQX917554:EQX917985 EHB917554:EHB917985 DXF917554:DXF917985 DNJ917554:DNJ917985 DDN917554:DDN917985 CTR917554:CTR917985 CJV917554:CJV917985 BZZ917554:BZZ917985 BQD917554:BQD917985 BGH917554:BGH917985 AWL917554:AWL917985 AMP917554:AMP917985 ACT917554:ACT917985 SX917554:SX917985 JB917554:JB917985 F917554:F917985 WVN852018:WVN852449 WLR852018:WLR852449 WBV852018:WBV852449 VRZ852018:VRZ852449 VID852018:VID852449 UYH852018:UYH852449 UOL852018:UOL852449 UEP852018:UEP852449 TUT852018:TUT852449 TKX852018:TKX852449 TBB852018:TBB852449 SRF852018:SRF852449 SHJ852018:SHJ852449 RXN852018:RXN852449 RNR852018:RNR852449 RDV852018:RDV852449 QTZ852018:QTZ852449 QKD852018:QKD852449 QAH852018:QAH852449 PQL852018:PQL852449 PGP852018:PGP852449 OWT852018:OWT852449 OMX852018:OMX852449 ODB852018:ODB852449 NTF852018:NTF852449 NJJ852018:NJJ852449 MZN852018:MZN852449 MPR852018:MPR852449 MFV852018:MFV852449 LVZ852018:LVZ852449 LMD852018:LMD852449 LCH852018:LCH852449 KSL852018:KSL852449 KIP852018:KIP852449 JYT852018:JYT852449 JOX852018:JOX852449 JFB852018:JFB852449 IVF852018:IVF852449 ILJ852018:ILJ852449 IBN852018:IBN852449 HRR852018:HRR852449 HHV852018:HHV852449 GXZ852018:GXZ852449 GOD852018:GOD852449 GEH852018:GEH852449 FUL852018:FUL852449 FKP852018:FKP852449 FAT852018:FAT852449 EQX852018:EQX852449 EHB852018:EHB852449 DXF852018:DXF852449 DNJ852018:DNJ852449 DDN852018:DDN852449 CTR852018:CTR852449 CJV852018:CJV852449 BZZ852018:BZZ852449 BQD852018:BQD852449 BGH852018:BGH852449 AWL852018:AWL852449 AMP852018:AMP852449 ACT852018:ACT852449 SX852018:SX852449 JB852018:JB852449 F852018:F852449 WVN786482:WVN786913 WLR786482:WLR786913 WBV786482:WBV786913 VRZ786482:VRZ786913 VID786482:VID786913 UYH786482:UYH786913 UOL786482:UOL786913 UEP786482:UEP786913 TUT786482:TUT786913 TKX786482:TKX786913 TBB786482:TBB786913 SRF786482:SRF786913 SHJ786482:SHJ786913 RXN786482:RXN786913 RNR786482:RNR786913 RDV786482:RDV786913 QTZ786482:QTZ786913 QKD786482:QKD786913 QAH786482:QAH786913 PQL786482:PQL786913 PGP786482:PGP786913 OWT786482:OWT786913 OMX786482:OMX786913 ODB786482:ODB786913 NTF786482:NTF786913 NJJ786482:NJJ786913 MZN786482:MZN786913 MPR786482:MPR786913 MFV786482:MFV786913 LVZ786482:LVZ786913 LMD786482:LMD786913 LCH786482:LCH786913 KSL786482:KSL786913 KIP786482:KIP786913 JYT786482:JYT786913 JOX786482:JOX786913 JFB786482:JFB786913 IVF786482:IVF786913 ILJ786482:ILJ786913 IBN786482:IBN786913 HRR786482:HRR786913 HHV786482:HHV786913 GXZ786482:GXZ786913 GOD786482:GOD786913 GEH786482:GEH786913 FUL786482:FUL786913 FKP786482:FKP786913 FAT786482:FAT786913 EQX786482:EQX786913 EHB786482:EHB786913 DXF786482:DXF786913 DNJ786482:DNJ786913 DDN786482:DDN786913 CTR786482:CTR786913 CJV786482:CJV786913 BZZ786482:BZZ786913 BQD786482:BQD786913 BGH786482:BGH786913 AWL786482:AWL786913 AMP786482:AMP786913 ACT786482:ACT786913 SX786482:SX786913 JB786482:JB786913 F786482:F786913 WVN720946:WVN721377 WLR720946:WLR721377 WBV720946:WBV721377 VRZ720946:VRZ721377 VID720946:VID721377 UYH720946:UYH721377 UOL720946:UOL721377 UEP720946:UEP721377 TUT720946:TUT721377 TKX720946:TKX721377 TBB720946:TBB721377 SRF720946:SRF721377 SHJ720946:SHJ721377 RXN720946:RXN721377 RNR720946:RNR721377 RDV720946:RDV721377 QTZ720946:QTZ721377 QKD720946:QKD721377 QAH720946:QAH721377 PQL720946:PQL721377 PGP720946:PGP721377 OWT720946:OWT721377 OMX720946:OMX721377 ODB720946:ODB721377 NTF720946:NTF721377 NJJ720946:NJJ721377 MZN720946:MZN721377 MPR720946:MPR721377 MFV720946:MFV721377 LVZ720946:LVZ721377 LMD720946:LMD721377 LCH720946:LCH721377 KSL720946:KSL721377 KIP720946:KIP721377 JYT720946:JYT721377 JOX720946:JOX721377 JFB720946:JFB721377 IVF720946:IVF721377 ILJ720946:ILJ721377 IBN720946:IBN721377 HRR720946:HRR721377 HHV720946:HHV721377 GXZ720946:GXZ721377 GOD720946:GOD721377 GEH720946:GEH721377 FUL720946:FUL721377 FKP720946:FKP721377 FAT720946:FAT721377 EQX720946:EQX721377 EHB720946:EHB721377 DXF720946:DXF721377 DNJ720946:DNJ721377 DDN720946:DDN721377 CTR720946:CTR721377 CJV720946:CJV721377 BZZ720946:BZZ721377 BQD720946:BQD721377 BGH720946:BGH721377 AWL720946:AWL721377 AMP720946:AMP721377 ACT720946:ACT721377 SX720946:SX721377 JB720946:JB721377 F720946:F721377 WVN655410:WVN655841 WLR655410:WLR655841 WBV655410:WBV655841 VRZ655410:VRZ655841 VID655410:VID655841 UYH655410:UYH655841 UOL655410:UOL655841 UEP655410:UEP655841 TUT655410:TUT655841 TKX655410:TKX655841 TBB655410:TBB655841 SRF655410:SRF655841 SHJ655410:SHJ655841 RXN655410:RXN655841 RNR655410:RNR655841 RDV655410:RDV655841 QTZ655410:QTZ655841 QKD655410:QKD655841 QAH655410:QAH655841 PQL655410:PQL655841 PGP655410:PGP655841 OWT655410:OWT655841 OMX655410:OMX655841 ODB655410:ODB655841 NTF655410:NTF655841 NJJ655410:NJJ655841 MZN655410:MZN655841 MPR655410:MPR655841 MFV655410:MFV655841 LVZ655410:LVZ655841 LMD655410:LMD655841 LCH655410:LCH655841 KSL655410:KSL655841 KIP655410:KIP655841 JYT655410:JYT655841 JOX655410:JOX655841 JFB655410:JFB655841 IVF655410:IVF655841 ILJ655410:ILJ655841 IBN655410:IBN655841 HRR655410:HRR655841 HHV655410:HHV655841 GXZ655410:GXZ655841 GOD655410:GOD655841 GEH655410:GEH655841 FUL655410:FUL655841 FKP655410:FKP655841 FAT655410:FAT655841 EQX655410:EQX655841 EHB655410:EHB655841 DXF655410:DXF655841 DNJ655410:DNJ655841 DDN655410:DDN655841 CTR655410:CTR655841 CJV655410:CJV655841 BZZ655410:BZZ655841 BQD655410:BQD655841 BGH655410:BGH655841 AWL655410:AWL655841 AMP655410:AMP655841 ACT655410:ACT655841 SX655410:SX655841 JB655410:JB655841 F655410:F655841 WVN589874:WVN590305 WLR589874:WLR590305 WBV589874:WBV590305 VRZ589874:VRZ590305 VID589874:VID590305 UYH589874:UYH590305 UOL589874:UOL590305 UEP589874:UEP590305 TUT589874:TUT590305 TKX589874:TKX590305 TBB589874:TBB590305 SRF589874:SRF590305 SHJ589874:SHJ590305 RXN589874:RXN590305 RNR589874:RNR590305 RDV589874:RDV590305 QTZ589874:QTZ590305 QKD589874:QKD590305 QAH589874:QAH590305 PQL589874:PQL590305 PGP589874:PGP590305 OWT589874:OWT590305 OMX589874:OMX590305 ODB589874:ODB590305 NTF589874:NTF590305 NJJ589874:NJJ590305 MZN589874:MZN590305 MPR589874:MPR590305 MFV589874:MFV590305 LVZ589874:LVZ590305 LMD589874:LMD590305 LCH589874:LCH590305 KSL589874:KSL590305 KIP589874:KIP590305 JYT589874:JYT590305 JOX589874:JOX590305 JFB589874:JFB590305 IVF589874:IVF590305 ILJ589874:ILJ590305 IBN589874:IBN590305 HRR589874:HRR590305 HHV589874:HHV590305 GXZ589874:GXZ590305 GOD589874:GOD590305 GEH589874:GEH590305 FUL589874:FUL590305 FKP589874:FKP590305 FAT589874:FAT590305 EQX589874:EQX590305 EHB589874:EHB590305 DXF589874:DXF590305 DNJ589874:DNJ590305 DDN589874:DDN590305 CTR589874:CTR590305 CJV589874:CJV590305 BZZ589874:BZZ590305 BQD589874:BQD590305 BGH589874:BGH590305 AWL589874:AWL590305 AMP589874:AMP590305 ACT589874:ACT590305 SX589874:SX590305 JB589874:JB590305 F589874:F590305 WVN524338:WVN524769 WLR524338:WLR524769 WBV524338:WBV524769 VRZ524338:VRZ524769 VID524338:VID524769 UYH524338:UYH524769 UOL524338:UOL524769 UEP524338:UEP524769 TUT524338:TUT524769 TKX524338:TKX524769 TBB524338:TBB524769 SRF524338:SRF524769 SHJ524338:SHJ524769 RXN524338:RXN524769 RNR524338:RNR524769 RDV524338:RDV524769 QTZ524338:QTZ524769 QKD524338:QKD524769 QAH524338:QAH524769 PQL524338:PQL524769 PGP524338:PGP524769 OWT524338:OWT524769 OMX524338:OMX524769 ODB524338:ODB524769 NTF524338:NTF524769 NJJ524338:NJJ524769 MZN524338:MZN524769 MPR524338:MPR524769 MFV524338:MFV524769 LVZ524338:LVZ524769 LMD524338:LMD524769 LCH524338:LCH524769 KSL524338:KSL524769 KIP524338:KIP524769 JYT524338:JYT524769 JOX524338:JOX524769 JFB524338:JFB524769 IVF524338:IVF524769 ILJ524338:ILJ524769 IBN524338:IBN524769 HRR524338:HRR524769 HHV524338:HHV524769 GXZ524338:GXZ524769 GOD524338:GOD524769 GEH524338:GEH524769 FUL524338:FUL524769 FKP524338:FKP524769 FAT524338:FAT524769 EQX524338:EQX524769 EHB524338:EHB524769 DXF524338:DXF524769 DNJ524338:DNJ524769 DDN524338:DDN524769 CTR524338:CTR524769 CJV524338:CJV524769 BZZ524338:BZZ524769 BQD524338:BQD524769 BGH524338:BGH524769 AWL524338:AWL524769 AMP524338:AMP524769 ACT524338:ACT524769 SX524338:SX524769 JB524338:JB524769 F524338:F524769 WVN458802:WVN459233 WLR458802:WLR459233 WBV458802:WBV459233 VRZ458802:VRZ459233 VID458802:VID459233 UYH458802:UYH459233 UOL458802:UOL459233 UEP458802:UEP459233 TUT458802:TUT459233 TKX458802:TKX459233 TBB458802:TBB459233 SRF458802:SRF459233 SHJ458802:SHJ459233 RXN458802:RXN459233 RNR458802:RNR459233 RDV458802:RDV459233 QTZ458802:QTZ459233 QKD458802:QKD459233 QAH458802:QAH459233 PQL458802:PQL459233 PGP458802:PGP459233 OWT458802:OWT459233 OMX458802:OMX459233 ODB458802:ODB459233 NTF458802:NTF459233 NJJ458802:NJJ459233 MZN458802:MZN459233 MPR458802:MPR459233 MFV458802:MFV459233 LVZ458802:LVZ459233 LMD458802:LMD459233 LCH458802:LCH459233 KSL458802:KSL459233 KIP458802:KIP459233 JYT458802:JYT459233 JOX458802:JOX459233 JFB458802:JFB459233 IVF458802:IVF459233 ILJ458802:ILJ459233 IBN458802:IBN459233 HRR458802:HRR459233 HHV458802:HHV459233 GXZ458802:GXZ459233 GOD458802:GOD459233 GEH458802:GEH459233 FUL458802:FUL459233 FKP458802:FKP459233 FAT458802:FAT459233 EQX458802:EQX459233 EHB458802:EHB459233 DXF458802:DXF459233 DNJ458802:DNJ459233 DDN458802:DDN459233 CTR458802:CTR459233 CJV458802:CJV459233 BZZ458802:BZZ459233 BQD458802:BQD459233 BGH458802:BGH459233 AWL458802:AWL459233 AMP458802:AMP459233 ACT458802:ACT459233 SX458802:SX459233 JB458802:JB459233 F458802:F459233 WVN393266:WVN393697 WLR393266:WLR393697 WBV393266:WBV393697 VRZ393266:VRZ393697 VID393266:VID393697 UYH393266:UYH393697 UOL393266:UOL393697 UEP393266:UEP393697 TUT393266:TUT393697 TKX393266:TKX393697 TBB393266:TBB393697 SRF393266:SRF393697 SHJ393266:SHJ393697 RXN393266:RXN393697 RNR393266:RNR393697 RDV393266:RDV393697 QTZ393266:QTZ393697 QKD393266:QKD393697 QAH393266:QAH393697 PQL393266:PQL393697 PGP393266:PGP393697 OWT393266:OWT393697 OMX393266:OMX393697 ODB393266:ODB393697 NTF393266:NTF393697 NJJ393266:NJJ393697 MZN393266:MZN393697 MPR393266:MPR393697 MFV393266:MFV393697 LVZ393266:LVZ393697 LMD393266:LMD393697 LCH393266:LCH393697 KSL393266:KSL393697 KIP393266:KIP393697 JYT393266:JYT393697 JOX393266:JOX393697 JFB393266:JFB393697 IVF393266:IVF393697 ILJ393266:ILJ393697 IBN393266:IBN393697 HRR393266:HRR393697 HHV393266:HHV393697 GXZ393266:GXZ393697 GOD393266:GOD393697 GEH393266:GEH393697 FUL393266:FUL393697 FKP393266:FKP393697 FAT393266:FAT393697 EQX393266:EQX393697 EHB393266:EHB393697 DXF393266:DXF393697 DNJ393266:DNJ393697 DDN393266:DDN393697 CTR393266:CTR393697 CJV393266:CJV393697 BZZ393266:BZZ393697 BQD393266:BQD393697 BGH393266:BGH393697 AWL393266:AWL393697 AMP393266:AMP393697 ACT393266:ACT393697 SX393266:SX393697 JB393266:JB393697 F393266:F393697 WVN327730:WVN328161 WLR327730:WLR328161 WBV327730:WBV328161 VRZ327730:VRZ328161 VID327730:VID328161 UYH327730:UYH328161 UOL327730:UOL328161 UEP327730:UEP328161 TUT327730:TUT328161 TKX327730:TKX328161 TBB327730:TBB328161 SRF327730:SRF328161 SHJ327730:SHJ328161 RXN327730:RXN328161 RNR327730:RNR328161 RDV327730:RDV328161 QTZ327730:QTZ328161 QKD327730:QKD328161 QAH327730:QAH328161 PQL327730:PQL328161 PGP327730:PGP328161 OWT327730:OWT328161 OMX327730:OMX328161 ODB327730:ODB328161 NTF327730:NTF328161 NJJ327730:NJJ328161 MZN327730:MZN328161 MPR327730:MPR328161 MFV327730:MFV328161 LVZ327730:LVZ328161 LMD327730:LMD328161 LCH327730:LCH328161 KSL327730:KSL328161 KIP327730:KIP328161 JYT327730:JYT328161 JOX327730:JOX328161 JFB327730:JFB328161 IVF327730:IVF328161 ILJ327730:ILJ328161 IBN327730:IBN328161 HRR327730:HRR328161 HHV327730:HHV328161 GXZ327730:GXZ328161 GOD327730:GOD328161 GEH327730:GEH328161 FUL327730:FUL328161 FKP327730:FKP328161 FAT327730:FAT328161 EQX327730:EQX328161 EHB327730:EHB328161 DXF327730:DXF328161 DNJ327730:DNJ328161 DDN327730:DDN328161 CTR327730:CTR328161 CJV327730:CJV328161 BZZ327730:BZZ328161 BQD327730:BQD328161 BGH327730:BGH328161 AWL327730:AWL328161 AMP327730:AMP328161 ACT327730:ACT328161 SX327730:SX328161 JB327730:JB328161 F327730:F328161 WVN262194:WVN262625 WLR262194:WLR262625 WBV262194:WBV262625 VRZ262194:VRZ262625 VID262194:VID262625 UYH262194:UYH262625 UOL262194:UOL262625 UEP262194:UEP262625 TUT262194:TUT262625 TKX262194:TKX262625 TBB262194:TBB262625 SRF262194:SRF262625 SHJ262194:SHJ262625 RXN262194:RXN262625 RNR262194:RNR262625 RDV262194:RDV262625 QTZ262194:QTZ262625 QKD262194:QKD262625 QAH262194:QAH262625 PQL262194:PQL262625 PGP262194:PGP262625 OWT262194:OWT262625 OMX262194:OMX262625 ODB262194:ODB262625 NTF262194:NTF262625 NJJ262194:NJJ262625 MZN262194:MZN262625 MPR262194:MPR262625 MFV262194:MFV262625 LVZ262194:LVZ262625 LMD262194:LMD262625 LCH262194:LCH262625 KSL262194:KSL262625 KIP262194:KIP262625 JYT262194:JYT262625 JOX262194:JOX262625 JFB262194:JFB262625 IVF262194:IVF262625 ILJ262194:ILJ262625 IBN262194:IBN262625 HRR262194:HRR262625 HHV262194:HHV262625 GXZ262194:GXZ262625 GOD262194:GOD262625 GEH262194:GEH262625 FUL262194:FUL262625 FKP262194:FKP262625 FAT262194:FAT262625 EQX262194:EQX262625 EHB262194:EHB262625 DXF262194:DXF262625 DNJ262194:DNJ262625 DDN262194:DDN262625 CTR262194:CTR262625 CJV262194:CJV262625 BZZ262194:BZZ262625 BQD262194:BQD262625 BGH262194:BGH262625 AWL262194:AWL262625 AMP262194:AMP262625 ACT262194:ACT262625 SX262194:SX262625 JB262194:JB262625 F262194:F262625 WVN196658:WVN197089 WLR196658:WLR197089 WBV196658:WBV197089 VRZ196658:VRZ197089 VID196658:VID197089 UYH196658:UYH197089 UOL196658:UOL197089 UEP196658:UEP197089 TUT196658:TUT197089 TKX196658:TKX197089 TBB196658:TBB197089 SRF196658:SRF197089 SHJ196658:SHJ197089 RXN196658:RXN197089 RNR196658:RNR197089 RDV196658:RDV197089 QTZ196658:QTZ197089 QKD196658:QKD197089 QAH196658:QAH197089 PQL196658:PQL197089 PGP196658:PGP197089 OWT196658:OWT197089 OMX196658:OMX197089 ODB196658:ODB197089 NTF196658:NTF197089 NJJ196658:NJJ197089 MZN196658:MZN197089 MPR196658:MPR197089 MFV196658:MFV197089 LVZ196658:LVZ197089 LMD196658:LMD197089 LCH196658:LCH197089 KSL196658:KSL197089 KIP196658:KIP197089 JYT196658:JYT197089 JOX196658:JOX197089 JFB196658:JFB197089 IVF196658:IVF197089 ILJ196658:ILJ197089 IBN196658:IBN197089 HRR196658:HRR197089 HHV196658:HHV197089 GXZ196658:GXZ197089 GOD196658:GOD197089 GEH196658:GEH197089 FUL196658:FUL197089 FKP196658:FKP197089 FAT196658:FAT197089 EQX196658:EQX197089 EHB196658:EHB197089 DXF196658:DXF197089 DNJ196658:DNJ197089 DDN196658:DDN197089 CTR196658:CTR197089 CJV196658:CJV197089 BZZ196658:BZZ197089 BQD196658:BQD197089 BGH196658:BGH197089 AWL196658:AWL197089 AMP196658:AMP197089 ACT196658:ACT197089 SX196658:SX197089 JB196658:JB197089 F196658:F197089 WVN131122:WVN131553 WLR131122:WLR131553 WBV131122:WBV131553 VRZ131122:VRZ131553 VID131122:VID131553 UYH131122:UYH131553 UOL131122:UOL131553 UEP131122:UEP131553 TUT131122:TUT131553 TKX131122:TKX131553 TBB131122:TBB131553 SRF131122:SRF131553 SHJ131122:SHJ131553 RXN131122:RXN131553 RNR131122:RNR131553 RDV131122:RDV131553 QTZ131122:QTZ131553 QKD131122:QKD131553 QAH131122:QAH131553 PQL131122:PQL131553 PGP131122:PGP131553 OWT131122:OWT131553 OMX131122:OMX131553 ODB131122:ODB131553 NTF131122:NTF131553 NJJ131122:NJJ131553 MZN131122:MZN131553 MPR131122:MPR131553 MFV131122:MFV131553 LVZ131122:LVZ131553 LMD131122:LMD131553 LCH131122:LCH131553 KSL131122:KSL131553 KIP131122:KIP131553 JYT131122:JYT131553 JOX131122:JOX131553 JFB131122:JFB131553 IVF131122:IVF131553 ILJ131122:ILJ131553 IBN131122:IBN131553 HRR131122:HRR131553 HHV131122:HHV131553 GXZ131122:GXZ131553 GOD131122:GOD131553 GEH131122:GEH131553 FUL131122:FUL131553 FKP131122:FKP131553 FAT131122:FAT131553 EQX131122:EQX131553 EHB131122:EHB131553 DXF131122:DXF131553 DNJ131122:DNJ131553 DDN131122:DDN131553 CTR131122:CTR131553 CJV131122:CJV131553 BZZ131122:BZZ131553 BQD131122:BQD131553 BGH131122:BGH131553 AWL131122:AWL131553 AMP131122:AMP131553 ACT131122:ACT131553 SX131122:SX131553 JB131122:JB131553 F131122:F131553 WVN65586:WVN66017 WLR65586:WLR66017 WBV65586:WBV66017 VRZ65586:VRZ66017 VID65586:VID66017 UYH65586:UYH66017 UOL65586:UOL66017 UEP65586:UEP66017 TUT65586:TUT66017 TKX65586:TKX66017 TBB65586:TBB66017 SRF65586:SRF66017 SHJ65586:SHJ66017 RXN65586:RXN66017 RNR65586:RNR66017 RDV65586:RDV66017 QTZ65586:QTZ66017 QKD65586:QKD66017 QAH65586:QAH66017 PQL65586:PQL66017 PGP65586:PGP66017 OWT65586:OWT66017 OMX65586:OMX66017 ODB65586:ODB66017 NTF65586:NTF66017 NJJ65586:NJJ66017 MZN65586:MZN66017 MPR65586:MPR66017 MFV65586:MFV66017 LVZ65586:LVZ66017 LMD65586:LMD66017 LCH65586:LCH66017 KSL65586:KSL66017 KIP65586:KIP66017 JYT65586:JYT66017 JOX65586:JOX66017 JFB65586:JFB66017 IVF65586:IVF66017 ILJ65586:ILJ66017 IBN65586:IBN66017 HRR65586:HRR66017 HHV65586:HHV66017 GXZ65586:GXZ66017 GOD65586:GOD66017 GEH65586:GEH66017 FUL65586:FUL66017 FKP65586:FKP66017 FAT65586:FAT66017 EQX65586:EQX66017 EHB65586:EHB66017 DXF65586:DXF66017 DNJ65586:DNJ66017 DDN65586:DDN66017 CTR65586:CTR66017 CJV65586:CJV66017 BZZ65586:BZZ66017 BQD65586:BQD66017 BGH65586:BGH66017 AWL65586:AWL66017 AMP65586:AMP66017 ACT65586:ACT66017 SX65586:SX66017 JB65586:JB66017 F65586:F66017 WVN50:WVN481 WLR50:WLR481 WBV50:WBV481 VRZ50:VRZ481 VID50:VID481 UYH50:UYH481 UOL50:UOL481 UEP50:UEP481 TUT50:TUT481 TKX50:TKX481 TBB50:TBB481 SRF50:SRF481 SHJ50:SHJ481 RXN50:RXN481 RNR50:RNR481 RDV50:RDV481 QTZ50:QTZ481 QKD50:QKD481 QAH50:QAH481 PQL50:PQL481 PGP50:PGP481 OWT50:OWT481 OMX50:OMX481 ODB50:ODB481 NTF50:NTF481 NJJ50:NJJ481 MZN50:MZN481 MPR50:MPR481 MFV50:MFV481 LVZ50:LVZ481 LMD50:LMD481 LCH50:LCH481 KSL50:KSL481 KIP50:KIP481 JYT50:JYT481 JOX50:JOX481 JFB50:JFB481 IVF50:IVF481 ILJ50:ILJ481 IBN50:IBN481 HRR50:HRR481 HHV50:HHV481 GXZ50:GXZ481 GOD50:GOD481 GEH50:GEH481 FUL50:FUL481 FKP50:FKP481 FAT50:FAT481 EQX50:EQX481 EHB50:EHB481 DXF50:DXF481 DNJ50:DNJ481 DDN50:DDN481 CTR50:CTR481 CJV50:CJV481 BZZ50:BZZ481 BQD50:BQD481 BGH50:BGH481 AWL50:AWL481 AMP50:AMP481 ACT50:ACT481 SX50:SX481 JB50:JB481 F206:F481 WVM983097:WVM983098 WLQ983097:WLQ983098 WBU983097:WBU983098 VRY983097:VRY983098 VIC983097:VIC983098 UYG983097:UYG983098 UOK983097:UOK983098 UEO983097:UEO983098 TUS983097:TUS983098 TKW983097:TKW983098 TBA983097:TBA983098 SRE983097:SRE983098 SHI983097:SHI983098 RXM983097:RXM983098 RNQ983097:RNQ983098 RDU983097:RDU983098 QTY983097:QTY983098 QKC983097:QKC983098 QAG983097:QAG983098 PQK983097:PQK983098 PGO983097:PGO983098 OWS983097:OWS983098 OMW983097:OMW983098 ODA983097:ODA983098 NTE983097:NTE983098 NJI983097:NJI983098 MZM983097:MZM983098 MPQ983097:MPQ983098 MFU983097:MFU983098 LVY983097:LVY983098 LMC983097:LMC983098 LCG983097:LCG983098 KSK983097:KSK983098 KIO983097:KIO983098 JYS983097:JYS983098 JOW983097:JOW983098 JFA983097:JFA983098 IVE983097:IVE983098 ILI983097:ILI983098 IBM983097:IBM983098 HRQ983097:HRQ983098 HHU983097:HHU983098 GXY983097:GXY983098 GOC983097:GOC983098 GEG983097:GEG983098 FUK983097:FUK983098 FKO983097:FKO983098 FAS983097:FAS983098 EQW983097:EQW983098 EHA983097:EHA983098 DXE983097:DXE983098 DNI983097:DNI983098 DDM983097:DDM983098 CTQ983097:CTQ983098 CJU983097:CJU983098 BZY983097:BZY983098 BQC983097:BQC983098 BGG983097:BGG983098 AWK983097:AWK983098 AMO983097:AMO983098 ACS983097:ACS983098 SW983097:SW983098 JA983097:JA983098 E983097:E983098 WVM917561:WVM917562 WLQ917561:WLQ917562 WBU917561:WBU917562 VRY917561:VRY917562 VIC917561:VIC917562 UYG917561:UYG917562 UOK917561:UOK917562 UEO917561:UEO917562 TUS917561:TUS917562 TKW917561:TKW917562 TBA917561:TBA917562 SRE917561:SRE917562 SHI917561:SHI917562 RXM917561:RXM917562 RNQ917561:RNQ917562 RDU917561:RDU917562 QTY917561:QTY917562 QKC917561:QKC917562 QAG917561:QAG917562 PQK917561:PQK917562 PGO917561:PGO917562 OWS917561:OWS917562 OMW917561:OMW917562 ODA917561:ODA917562 NTE917561:NTE917562 NJI917561:NJI917562 MZM917561:MZM917562 MPQ917561:MPQ917562 MFU917561:MFU917562 LVY917561:LVY917562 LMC917561:LMC917562 LCG917561:LCG917562 KSK917561:KSK917562 KIO917561:KIO917562 JYS917561:JYS917562 JOW917561:JOW917562 JFA917561:JFA917562 IVE917561:IVE917562 ILI917561:ILI917562 IBM917561:IBM917562 HRQ917561:HRQ917562 HHU917561:HHU917562 GXY917561:GXY917562 GOC917561:GOC917562 GEG917561:GEG917562 FUK917561:FUK917562 FKO917561:FKO917562 FAS917561:FAS917562 EQW917561:EQW917562 EHA917561:EHA917562 DXE917561:DXE917562 DNI917561:DNI917562 DDM917561:DDM917562 CTQ917561:CTQ917562 CJU917561:CJU917562 BZY917561:BZY917562 BQC917561:BQC917562 BGG917561:BGG917562 AWK917561:AWK917562 AMO917561:AMO917562 ACS917561:ACS917562 SW917561:SW917562 JA917561:JA917562 E917561:E917562 WVM852025:WVM852026 WLQ852025:WLQ852026 WBU852025:WBU852026 VRY852025:VRY852026 VIC852025:VIC852026 UYG852025:UYG852026 UOK852025:UOK852026 UEO852025:UEO852026 TUS852025:TUS852026 TKW852025:TKW852026 TBA852025:TBA852026 SRE852025:SRE852026 SHI852025:SHI852026 RXM852025:RXM852026 RNQ852025:RNQ852026 RDU852025:RDU852026 QTY852025:QTY852026 QKC852025:QKC852026 QAG852025:QAG852026 PQK852025:PQK852026 PGO852025:PGO852026 OWS852025:OWS852026 OMW852025:OMW852026 ODA852025:ODA852026 NTE852025:NTE852026 NJI852025:NJI852026 MZM852025:MZM852026 MPQ852025:MPQ852026 MFU852025:MFU852026 LVY852025:LVY852026 LMC852025:LMC852026 LCG852025:LCG852026 KSK852025:KSK852026 KIO852025:KIO852026 JYS852025:JYS852026 JOW852025:JOW852026 JFA852025:JFA852026 IVE852025:IVE852026 ILI852025:ILI852026 IBM852025:IBM852026 HRQ852025:HRQ852026 HHU852025:HHU852026 GXY852025:GXY852026 GOC852025:GOC852026 GEG852025:GEG852026 FUK852025:FUK852026 FKO852025:FKO852026 FAS852025:FAS852026 EQW852025:EQW852026 EHA852025:EHA852026 DXE852025:DXE852026 DNI852025:DNI852026 DDM852025:DDM852026 CTQ852025:CTQ852026 CJU852025:CJU852026 BZY852025:BZY852026 BQC852025:BQC852026 BGG852025:BGG852026 AWK852025:AWK852026 AMO852025:AMO852026 ACS852025:ACS852026 SW852025:SW852026 JA852025:JA852026 E852025:E852026 WVM786489:WVM786490 WLQ786489:WLQ786490 WBU786489:WBU786490 VRY786489:VRY786490 VIC786489:VIC786490 UYG786489:UYG786490 UOK786489:UOK786490 UEO786489:UEO786490 TUS786489:TUS786490 TKW786489:TKW786490 TBA786489:TBA786490 SRE786489:SRE786490 SHI786489:SHI786490 RXM786489:RXM786490 RNQ786489:RNQ786490 RDU786489:RDU786490 QTY786489:QTY786490 QKC786489:QKC786490 QAG786489:QAG786490 PQK786489:PQK786490 PGO786489:PGO786490 OWS786489:OWS786490 OMW786489:OMW786490 ODA786489:ODA786490 NTE786489:NTE786490 NJI786489:NJI786490 MZM786489:MZM786490 MPQ786489:MPQ786490 MFU786489:MFU786490 LVY786489:LVY786490 LMC786489:LMC786490 LCG786489:LCG786490 KSK786489:KSK786490 KIO786489:KIO786490 JYS786489:JYS786490 JOW786489:JOW786490 JFA786489:JFA786490 IVE786489:IVE786490 ILI786489:ILI786490 IBM786489:IBM786490 HRQ786489:HRQ786490 HHU786489:HHU786490 GXY786489:GXY786490 GOC786489:GOC786490 GEG786489:GEG786490 FUK786489:FUK786490 FKO786489:FKO786490 FAS786489:FAS786490 EQW786489:EQW786490 EHA786489:EHA786490 DXE786489:DXE786490 DNI786489:DNI786490 DDM786489:DDM786490 CTQ786489:CTQ786490 CJU786489:CJU786490 BZY786489:BZY786490 BQC786489:BQC786490 BGG786489:BGG786490 AWK786489:AWK786490 AMO786489:AMO786490 ACS786489:ACS786490 SW786489:SW786490 JA786489:JA786490 E786489:E786490 WVM720953:WVM720954 WLQ720953:WLQ720954 WBU720953:WBU720954 VRY720953:VRY720954 VIC720953:VIC720954 UYG720953:UYG720954 UOK720953:UOK720954 UEO720953:UEO720954 TUS720953:TUS720954 TKW720953:TKW720954 TBA720953:TBA720954 SRE720953:SRE720954 SHI720953:SHI720954 RXM720953:RXM720954 RNQ720953:RNQ720954 RDU720953:RDU720954 QTY720953:QTY720954 QKC720953:QKC720954 QAG720953:QAG720954 PQK720953:PQK720954 PGO720953:PGO720954 OWS720953:OWS720954 OMW720953:OMW720954 ODA720953:ODA720954 NTE720953:NTE720954 NJI720953:NJI720954 MZM720953:MZM720954 MPQ720953:MPQ720954 MFU720953:MFU720954 LVY720953:LVY720954 LMC720953:LMC720954 LCG720953:LCG720954 KSK720953:KSK720954 KIO720953:KIO720954 JYS720953:JYS720954 JOW720953:JOW720954 JFA720953:JFA720954 IVE720953:IVE720954 ILI720953:ILI720954 IBM720953:IBM720954 HRQ720953:HRQ720954 HHU720953:HHU720954 GXY720953:GXY720954 GOC720953:GOC720954 GEG720953:GEG720954 FUK720953:FUK720954 FKO720953:FKO720954 FAS720953:FAS720954 EQW720953:EQW720954 EHA720953:EHA720954 DXE720953:DXE720954 DNI720953:DNI720954 DDM720953:DDM720954 CTQ720953:CTQ720954 CJU720953:CJU720954 BZY720953:BZY720954 BQC720953:BQC720954 BGG720953:BGG720954 AWK720953:AWK720954 AMO720953:AMO720954 ACS720953:ACS720954 SW720953:SW720954 JA720953:JA720954 E720953:E720954 WVM655417:WVM655418 WLQ655417:WLQ655418 WBU655417:WBU655418 VRY655417:VRY655418 VIC655417:VIC655418 UYG655417:UYG655418 UOK655417:UOK655418 UEO655417:UEO655418 TUS655417:TUS655418 TKW655417:TKW655418 TBA655417:TBA655418 SRE655417:SRE655418 SHI655417:SHI655418 RXM655417:RXM655418 RNQ655417:RNQ655418 RDU655417:RDU655418 QTY655417:QTY655418 QKC655417:QKC655418 QAG655417:QAG655418 PQK655417:PQK655418 PGO655417:PGO655418 OWS655417:OWS655418 OMW655417:OMW655418 ODA655417:ODA655418 NTE655417:NTE655418 NJI655417:NJI655418 MZM655417:MZM655418 MPQ655417:MPQ655418 MFU655417:MFU655418 LVY655417:LVY655418 LMC655417:LMC655418 LCG655417:LCG655418 KSK655417:KSK655418 KIO655417:KIO655418 JYS655417:JYS655418 JOW655417:JOW655418 JFA655417:JFA655418 IVE655417:IVE655418 ILI655417:ILI655418 IBM655417:IBM655418 HRQ655417:HRQ655418 HHU655417:HHU655418 GXY655417:GXY655418 GOC655417:GOC655418 GEG655417:GEG655418 FUK655417:FUK655418 FKO655417:FKO655418 FAS655417:FAS655418 EQW655417:EQW655418 EHA655417:EHA655418 DXE655417:DXE655418 DNI655417:DNI655418 DDM655417:DDM655418 CTQ655417:CTQ655418 CJU655417:CJU655418 BZY655417:BZY655418 BQC655417:BQC655418 BGG655417:BGG655418 AWK655417:AWK655418 AMO655417:AMO655418 ACS655417:ACS655418 SW655417:SW655418 JA655417:JA655418 E655417:E655418 WVM589881:WVM589882 WLQ589881:WLQ589882 WBU589881:WBU589882 VRY589881:VRY589882 VIC589881:VIC589882 UYG589881:UYG589882 UOK589881:UOK589882 UEO589881:UEO589882 TUS589881:TUS589882 TKW589881:TKW589882 TBA589881:TBA589882 SRE589881:SRE589882 SHI589881:SHI589882 RXM589881:RXM589882 RNQ589881:RNQ589882 RDU589881:RDU589882 QTY589881:QTY589882 QKC589881:QKC589882 QAG589881:QAG589882 PQK589881:PQK589882 PGO589881:PGO589882 OWS589881:OWS589882 OMW589881:OMW589882 ODA589881:ODA589882 NTE589881:NTE589882 NJI589881:NJI589882 MZM589881:MZM589882 MPQ589881:MPQ589882 MFU589881:MFU589882 LVY589881:LVY589882 LMC589881:LMC589882 LCG589881:LCG589882 KSK589881:KSK589882 KIO589881:KIO589882 JYS589881:JYS589882 JOW589881:JOW589882 JFA589881:JFA589882 IVE589881:IVE589882 ILI589881:ILI589882 IBM589881:IBM589882 HRQ589881:HRQ589882 HHU589881:HHU589882 GXY589881:GXY589882 GOC589881:GOC589882 GEG589881:GEG589882 FUK589881:FUK589882 FKO589881:FKO589882 FAS589881:FAS589882 EQW589881:EQW589882 EHA589881:EHA589882 DXE589881:DXE589882 DNI589881:DNI589882 DDM589881:DDM589882 CTQ589881:CTQ589882 CJU589881:CJU589882 BZY589881:BZY589882 BQC589881:BQC589882 BGG589881:BGG589882 AWK589881:AWK589882 AMO589881:AMO589882 ACS589881:ACS589882 SW589881:SW589882 JA589881:JA589882 E589881:E589882 WVM524345:WVM524346 WLQ524345:WLQ524346 WBU524345:WBU524346 VRY524345:VRY524346 VIC524345:VIC524346 UYG524345:UYG524346 UOK524345:UOK524346 UEO524345:UEO524346 TUS524345:TUS524346 TKW524345:TKW524346 TBA524345:TBA524346 SRE524345:SRE524346 SHI524345:SHI524346 RXM524345:RXM524346 RNQ524345:RNQ524346 RDU524345:RDU524346 QTY524345:QTY524346 QKC524345:QKC524346 QAG524345:QAG524346 PQK524345:PQK524346 PGO524345:PGO524346 OWS524345:OWS524346 OMW524345:OMW524346 ODA524345:ODA524346 NTE524345:NTE524346 NJI524345:NJI524346 MZM524345:MZM524346 MPQ524345:MPQ524346 MFU524345:MFU524346 LVY524345:LVY524346 LMC524345:LMC524346 LCG524345:LCG524346 KSK524345:KSK524346 KIO524345:KIO524346 JYS524345:JYS524346 JOW524345:JOW524346 JFA524345:JFA524346 IVE524345:IVE524346 ILI524345:ILI524346 IBM524345:IBM524346 HRQ524345:HRQ524346 HHU524345:HHU524346 GXY524345:GXY524346 GOC524345:GOC524346 GEG524345:GEG524346 FUK524345:FUK524346 FKO524345:FKO524346 FAS524345:FAS524346 EQW524345:EQW524346 EHA524345:EHA524346 DXE524345:DXE524346 DNI524345:DNI524346 DDM524345:DDM524346 CTQ524345:CTQ524346 CJU524345:CJU524346 BZY524345:BZY524346 BQC524345:BQC524346 BGG524345:BGG524346 AWK524345:AWK524346 AMO524345:AMO524346 ACS524345:ACS524346 SW524345:SW524346 JA524345:JA524346 E524345:E524346 WVM458809:WVM458810 WLQ458809:WLQ458810 WBU458809:WBU458810 VRY458809:VRY458810 VIC458809:VIC458810 UYG458809:UYG458810 UOK458809:UOK458810 UEO458809:UEO458810 TUS458809:TUS458810 TKW458809:TKW458810 TBA458809:TBA458810 SRE458809:SRE458810 SHI458809:SHI458810 RXM458809:RXM458810 RNQ458809:RNQ458810 RDU458809:RDU458810 QTY458809:QTY458810 QKC458809:QKC458810 QAG458809:QAG458810 PQK458809:PQK458810 PGO458809:PGO458810 OWS458809:OWS458810 OMW458809:OMW458810 ODA458809:ODA458810 NTE458809:NTE458810 NJI458809:NJI458810 MZM458809:MZM458810 MPQ458809:MPQ458810 MFU458809:MFU458810 LVY458809:LVY458810 LMC458809:LMC458810 LCG458809:LCG458810 KSK458809:KSK458810 KIO458809:KIO458810 JYS458809:JYS458810 JOW458809:JOW458810 JFA458809:JFA458810 IVE458809:IVE458810 ILI458809:ILI458810 IBM458809:IBM458810 HRQ458809:HRQ458810 HHU458809:HHU458810 GXY458809:GXY458810 GOC458809:GOC458810 GEG458809:GEG458810 FUK458809:FUK458810 FKO458809:FKO458810 FAS458809:FAS458810 EQW458809:EQW458810 EHA458809:EHA458810 DXE458809:DXE458810 DNI458809:DNI458810 DDM458809:DDM458810 CTQ458809:CTQ458810 CJU458809:CJU458810 BZY458809:BZY458810 BQC458809:BQC458810 BGG458809:BGG458810 AWK458809:AWK458810 AMO458809:AMO458810 ACS458809:ACS458810 SW458809:SW458810 JA458809:JA458810 E458809:E458810 WVM393273:WVM393274 WLQ393273:WLQ393274 WBU393273:WBU393274 VRY393273:VRY393274 VIC393273:VIC393274 UYG393273:UYG393274 UOK393273:UOK393274 UEO393273:UEO393274 TUS393273:TUS393274 TKW393273:TKW393274 TBA393273:TBA393274 SRE393273:SRE393274 SHI393273:SHI393274 RXM393273:RXM393274 RNQ393273:RNQ393274 RDU393273:RDU393274 QTY393273:QTY393274 QKC393273:QKC393274 QAG393273:QAG393274 PQK393273:PQK393274 PGO393273:PGO393274 OWS393273:OWS393274 OMW393273:OMW393274 ODA393273:ODA393274 NTE393273:NTE393274 NJI393273:NJI393274 MZM393273:MZM393274 MPQ393273:MPQ393274 MFU393273:MFU393274 LVY393273:LVY393274 LMC393273:LMC393274 LCG393273:LCG393274 KSK393273:KSK393274 KIO393273:KIO393274 JYS393273:JYS393274 JOW393273:JOW393274 JFA393273:JFA393274 IVE393273:IVE393274 ILI393273:ILI393274 IBM393273:IBM393274 HRQ393273:HRQ393274 HHU393273:HHU393274 GXY393273:GXY393274 GOC393273:GOC393274 GEG393273:GEG393274 FUK393273:FUK393274 FKO393273:FKO393274 FAS393273:FAS393274 EQW393273:EQW393274 EHA393273:EHA393274 DXE393273:DXE393274 DNI393273:DNI393274 DDM393273:DDM393274 CTQ393273:CTQ393274 CJU393273:CJU393274 BZY393273:BZY393274 BQC393273:BQC393274 BGG393273:BGG393274 AWK393273:AWK393274 AMO393273:AMO393274 ACS393273:ACS393274 SW393273:SW393274 JA393273:JA393274 E393273:E393274 WVM327737:WVM327738 WLQ327737:WLQ327738 WBU327737:WBU327738 VRY327737:VRY327738 VIC327737:VIC327738 UYG327737:UYG327738 UOK327737:UOK327738 UEO327737:UEO327738 TUS327737:TUS327738 TKW327737:TKW327738 TBA327737:TBA327738 SRE327737:SRE327738 SHI327737:SHI327738 RXM327737:RXM327738 RNQ327737:RNQ327738 RDU327737:RDU327738 QTY327737:QTY327738 QKC327737:QKC327738 QAG327737:QAG327738 PQK327737:PQK327738 PGO327737:PGO327738 OWS327737:OWS327738 OMW327737:OMW327738 ODA327737:ODA327738 NTE327737:NTE327738 NJI327737:NJI327738 MZM327737:MZM327738 MPQ327737:MPQ327738 MFU327737:MFU327738 LVY327737:LVY327738 LMC327737:LMC327738 LCG327737:LCG327738 KSK327737:KSK327738 KIO327737:KIO327738 JYS327737:JYS327738 JOW327737:JOW327738 JFA327737:JFA327738 IVE327737:IVE327738 ILI327737:ILI327738 IBM327737:IBM327738 HRQ327737:HRQ327738 HHU327737:HHU327738 GXY327737:GXY327738 GOC327737:GOC327738 GEG327737:GEG327738 FUK327737:FUK327738 FKO327737:FKO327738 FAS327737:FAS327738 EQW327737:EQW327738 EHA327737:EHA327738 DXE327737:DXE327738 DNI327737:DNI327738 DDM327737:DDM327738 CTQ327737:CTQ327738 CJU327737:CJU327738 BZY327737:BZY327738 BQC327737:BQC327738 BGG327737:BGG327738 AWK327737:AWK327738 AMO327737:AMO327738 ACS327737:ACS327738 SW327737:SW327738 JA327737:JA327738 E327737:E327738 WVM262201:WVM262202 WLQ262201:WLQ262202 WBU262201:WBU262202 VRY262201:VRY262202 VIC262201:VIC262202 UYG262201:UYG262202 UOK262201:UOK262202 UEO262201:UEO262202 TUS262201:TUS262202 TKW262201:TKW262202 TBA262201:TBA262202 SRE262201:SRE262202 SHI262201:SHI262202 RXM262201:RXM262202 RNQ262201:RNQ262202 RDU262201:RDU262202 QTY262201:QTY262202 QKC262201:QKC262202 QAG262201:QAG262202 PQK262201:PQK262202 PGO262201:PGO262202 OWS262201:OWS262202 OMW262201:OMW262202 ODA262201:ODA262202 NTE262201:NTE262202 NJI262201:NJI262202 MZM262201:MZM262202 MPQ262201:MPQ262202 MFU262201:MFU262202 LVY262201:LVY262202 LMC262201:LMC262202 LCG262201:LCG262202 KSK262201:KSK262202 KIO262201:KIO262202 JYS262201:JYS262202 JOW262201:JOW262202 JFA262201:JFA262202 IVE262201:IVE262202 ILI262201:ILI262202 IBM262201:IBM262202 HRQ262201:HRQ262202 HHU262201:HHU262202 GXY262201:GXY262202 GOC262201:GOC262202 GEG262201:GEG262202 FUK262201:FUK262202 FKO262201:FKO262202 FAS262201:FAS262202 EQW262201:EQW262202 EHA262201:EHA262202 DXE262201:DXE262202 DNI262201:DNI262202 DDM262201:DDM262202 CTQ262201:CTQ262202 CJU262201:CJU262202 BZY262201:BZY262202 BQC262201:BQC262202 BGG262201:BGG262202 AWK262201:AWK262202 AMO262201:AMO262202 ACS262201:ACS262202 SW262201:SW262202 JA262201:JA262202 E262201:E262202 WVM196665:WVM196666 WLQ196665:WLQ196666 WBU196665:WBU196666 VRY196665:VRY196666 VIC196665:VIC196666 UYG196665:UYG196666 UOK196665:UOK196666 UEO196665:UEO196666 TUS196665:TUS196666 TKW196665:TKW196666 TBA196665:TBA196666 SRE196665:SRE196666 SHI196665:SHI196666 RXM196665:RXM196666 RNQ196665:RNQ196666 RDU196665:RDU196666 QTY196665:QTY196666 QKC196665:QKC196666 QAG196665:QAG196666 PQK196665:PQK196666 PGO196665:PGO196666 OWS196665:OWS196666 OMW196665:OMW196666 ODA196665:ODA196666 NTE196665:NTE196666 NJI196665:NJI196666 MZM196665:MZM196666 MPQ196665:MPQ196666 MFU196665:MFU196666 LVY196665:LVY196666 LMC196665:LMC196666 LCG196665:LCG196666 KSK196665:KSK196666 KIO196665:KIO196666 JYS196665:JYS196666 JOW196665:JOW196666 JFA196665:JFA196666 IVE196665:IVE196666 ILI196665:ILI196666 IBM196665:IBM196666 HRQ196665:HRQ196666 HHU196665:HHU196666 GXY196665:GXY196666 GOC196665:GOC196666 GEG196665:GEG196666 FUK196665:FUK196666 FKO196665:FKO196666 FAS196665:FAS196666 EQW196665:EQW196666 EHA196665:EHA196666 DXE196665:DXE196666 DNI196665:DNI196666 DDM196665:DDM196666 CTQ196665:CTQ196666 CJU196665:CJU196666 BZY196665:BZY196666 BQC196665:BQC196666 BGG196665:BGG196666 AWK196665:AWK196666 AMO196665:AMO196666 ACS196665:ACS196666 SW196665:SW196666 JA196665:JA196666 E196665:E196666 WVM131129:WVM131130 WLQ131129:WLQ131130 WBU131129:WBU131130 VRY131129:VRY131130 VIC131129:VIC131130 UYG131129:UYG131130 UOK131129:UOK131130 UEO131129:UEO131130 TUS131129:TUS131130 TKW131129:TKW131130 TBA131129:TBA131130 SRE131129:SRE131130 SHI131129:SHI131130 RXM131129:RXM131130 RNQ131129:RNQ131130 RDU131129:RDU131130 QTY131129:QTY131130 QKC131129:QKC131130 QAG131129:QAG131130 PQK131129:PQK131130 PGO131129:PGO131130 OWS131129:OWS131130 OMW131129:OMW131130 ODA131129:ODA131130 NTE131129:NTE131130 NJI131129:NJI131130 MZM131129:MZM131130 MPQ131129:MPQ131130 MFU131129:MFU131130 LVY131129:LVY131130 LMC131129:LMC131130 LCG131129:LCG131130 KSK131129:KSK131130 KIO131129:KIO131130 JYS131129:JYS131130 JOW131129:JOW131130 JFA131129:JFA131130 IVE131129:IVE131130 ILI131129:ILI131130 IBM131129:IBM131130 HRQ131129:HRQ131130 HHU131129:HHU131130 GXY131129:GXY131130 GOC131129:GOC131130 GEG131129:GEG131130 FUK131129:FUK131130 FKO131129:FKO131130 FAS131129:FAS131130 EQW131129:EQW131130 EHA131129:EHA131130 DXE131129:DXE131130 DNI131129:DNI131130 DDM131129:DDM131130 CTQ131129:CTQ131130 CJU131129:CJU131130 BZY131129:BZY131130 BQC131129:BQC131130 BGG131129:BGG131130 AWK131129:AWK131130 AMO131129:AMO131130 ACS131129:ACS131130 SW131129:SW131130 JA131129:JA131130 E131129:E131130 WVM65593:WVM65594 WLQ65593:WLQ65594 WBU65593:WBU65594 VRY65593:VRY65594 VIC65593:VIC65594 UYG65593:UYG65594 UOK65593:UOK65594 UEO65593:UEO65594 TUS65593:TUS65594 TKW65593:TKW65594 TBA65593:TBA65594 SRE65593:SRE65594 SHI65593:SHI65594 RXM65593:RXM65594 RNQ65593:RNQ65594 RDU65593:RDU65594 QTY65593:QTY65594 QKC65593:QKC65594 QAG65593:QAG65594 PQK65593:PQK65594 PGO65593:PGO65594 OWS65593:OWS65594 OMW65593:OMW65594 ODA65593:ODA65594 NTE65593:NTE65594 NJI65593:NJI65594 MZM65593:MZM65594 MPQ65593:MPQ65594 MFU65593:MFU65594 LVY65593:LVY65594 LMC65593:LMC65594 LCG65593:LCG65594 KSK65593:KSK65594 KIO65593:KIO65594 JYS65593:JYS65594 JOW65593:JOW65594 JFA65593:JFA65594 IVE65593:IVE65594 ILI65593:ILI65594 IBM65593:IBM65594 HRQ65593:HRQ65594 HHU65593:HHU65594 GXY65593:GXY65594 GOC65593:GOC65594 GEG65593:GEG65594 FUK65593:FUK65594 FKO65593:FKO65594 FAS65593:FAS65594 EQW65593:EQW65594 EHA65593:EHA65594 DXE65593:DXE65594 DNI65593:DNI65594 DDM65593:DDM65594 CTQ65593:CTQ65594 CJU65593:CJU65594 BZY65593:BZY65594 BQC65593:BQC65594 BGG65593:BGG65594 AWK65593:AWK65594 AMO65593:AMO65594 ACS65593:ACS65594 SW65593:SW65594 JA65593:JA65594 E65593:E65594 WVM57:WVM58 WLQ57:WLQ58 WBU57:WBU58 VRY57:VRY58 VIC57:VIC58 UYG57:UYG58 UOK57:UOK58 UEO57:UEO58 TUS57:TUS58 TKW57:TKW58 TBA57:TBA58 SRE57:SRE58 SHI57:SHI58 RXM57:RXM58 RNQ57:RNQ58 RDU57:RDU58 QTY57:QTY58 QKC57:QKC58 QAG57:QAG58 PQK57:PQK58 PGO57:PGO58 OWS57:OWS58 OMW57:OMW58 ODA57:ODA58 NTE57:NTE58 NJI57:NJI58 MZM57:MZM58 MPQ57:MPQ58 MFU57:MFU58 LVY57:LVY58 LMC57:LMC58 LCG57:LCG58 KSK57:KSK58 KIO57:KIO58 JYS57:JYS58 JOW57:JOW58 JFA57:JFA58 IVE57:IVE58 ILI57:ILI58 IBM57:IBM58 HRQ57:HRQ58 HHU57:HHU58 GXY57:GXY58 GOC57:GOC58 GEG57:GEG58 FUK57:FUK58 FKO57:FKO58 FAS57:FAS58 EQW57:EQW58 EHA57:EHA58 DXE57:DXE58 DNI57:DNI58 DDM57:DDM58 CTQ57:CTQ58 CJU57:CJU58 BZY57:BZY58 BQC57:BQC58 BGG57:BGG58 AWK57:AWK58 AMO57:AMO58 ACS57:ACS58 SW57:SW58 JA57:JA58">
      <formula1>Names</formula1>
    </dataValidation>
    <dataValidation type="list" allowBlank="1" showInputMessage="1" showErrorMessage="1" sqref="K40:K100 N101:N167">
      <formula1>Status</formula1>
    </dataValidation>
    <dataValidation type="list" allowBlank="1" showInputMessage="1" showErrorMessage="1" sqref="E40:E100">
      <formula1>Team</formula1>
    </dataValidation>
    <dataValidation type="list" allowBlank="1" showInputMessage="1" showErrorMessage="1" sqref="F40:F100">
      <formula1>Priority</formula1>
    </dataValidation>
  </dataValidations>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sheetPr codeName="Sheet8"/>
  <dimension ref="A1:G17"/>
  <sheetViews>
    <sheetView workbookViewId="0">
      <selection activeCell="E21" sqref="E21"/>
    </sheetView>
  </sheetViews>
  <sheetFormatPr defaultRowHeight="16.5"/>
  <cols>
    <col min="1" max="1" width="5.625" customWidth="1"/>
    <col min="3" max="3" width="22.375" customWidth="1"/>
    <col min="4" max="4" width="20.375" customWidth="1"/>
    <col min="5" max="5" width="34.875" bestFit="1" customWidth="1"/>
    <col min="6" max="6" width="10.75" customWidth="1"/>
  </cols>
  <sheetData>
    <row r="1" spans="1:7">
      <c r="A1" s="66" t="s">
        <v>59</v>
      </c>
      <c r="B1" s="66" t="s">
        <v>91</v>
      </c>
      <c r="C1" s="66" t="s">
        <v>93</v>
      </c>
      <c r="D1" s="66" t="s">
        <v>92</v>
      </c>
      <c r="E1" s="66" t="s">
        <v>94</v>
      </c>
      <c r="F1" s="66" t="s">
        <v>96</v>
      </c>
      <c r="G1" s="66" t="s">
        <v>95</v>
      </c>
    </row>
    <row r="2" spans="1:7">
      <c r="A2" s="24"/>
      <c r="B2" s="24"/>
      <c r="C2" s="24"/>
      <c r="D2" s="24"/>
      <c r="E2" s="24"/>
      <c r="F2" s="24"/>
      <c r="G2" s="24"/>
    </row>
    <row r="3" spans="1:7">
      <c r="A3" s="24"/>
      <c r="B3" s="24"/>
      <c r="C3" s="24"/>
      <c r="D3" s="24"/>
      <c r="E3" s="24"/>
      <c r="F3" s="24"/>
      <c r="G3" s="24"/>
    </row>
    <row r="4" spans="1:7">
      <c r="A4" s="24"/>
      <c r="B4" s="24"/>
      <c r="C4" s="24"/>
      <c r="D4" s="24"/>
      <c r="E4" s="24"/>
      <c r="F4" s="24"/>
      <c r="G4" s="24"/>
    </row>
    <row r="5" spans="1:7">
      <c r="A5" s="24"/>
      <c r="B5" s="24"/>
      <c r="C5" s="24"/>
      <c r="D5" s="24"/>
      <c r="E5" s="24"/>
      <c r="F5" s="24"/>
      <c r="G5" s="24"/>
    </row>
    <row r="6" spans="1:7">
      <c r="A6" s="24"/>
      <c r="B6" s="24"/>
      <c r="C6" s="24"/>
      <c r="D6" s="24"/>
      <c r="E6" s="24"/>
      <c r="F6" s="24"/>
      <c r="G6" s="24"/>
    </row>
    <row r="7" spans="1:7">
      <c r="A7" s="24"/>
      <c r="B7" s="24"/>
      <c r="C7" s="24"/>
      <c r="D7" s="24"/>
      <c r="E7" s="24"/>
      <c r="F7" s="24"/>
      <c r="G7" s="24"/>
    </row>
    <row r="8" spans="1:7">
      <c r="A8" s="24"/>
      <c r="B8" s="24"/>
      <c r="C8" s="24"/>
      <c r="D8" s="24"/>
      <c r="E8" s="24"/>
      <c r="F8" s="24"/>
      <c r="G8" s="24"/>
    </row>
    <row r="9" spans="1:7">
      <c r="A9" s="24"/>
      <c r="B9" s="24"/>
      <c r="C9" s="24"/>
      <c r="D9" s="24"/>
      <c r="E9" s="24"/>
      <c r="F9" s="24"/>
      <c r="G9" s="24"/>
    </row>
    <row r="10" spans="1:7">
      <c r="A10" s="24"/>
      <c r="B10" s="24"/>
      <c r="C10" s="24"/>
      <c r="D10" s="24"/>
      <c r="E10" s="24"/>
      <c r="F10" s="24"/>
      <c r="G10" s="24"/>
    </row>
    <row r="11" spans="1:7">
      <c r="A11" s="24"/>
      <c r="B11" s="24"/>
      <c r="C11" s="24"/>
      <c r="D11" s="24"/>
      <c r="E11" s="24"/>
      <c r="F11" s="24"/>
      <c r="G11" s="24"/>
    </row>
    <row r="12" spans="1:7">
      <c r="A12" s="24"/>
      <c r="B12" s="24"/>
      <c r="C12" s="24"/>
      <c r="D12" s="24"/>
      <c r="E12" s="24"/>
      <c r="F12" s="24"/>
      <c r="G12" s="24"/>
    </row>
    <row r="13" spans="1:7">
      <c r="A13" s="24"/>
      <c r="B13" s="24"/>
      <c r="C13" s="24"/>
      <c r="D13" s="24"/>
      <c r="E13" s="24"/>
      <c r="F13" s="24"/>
      <c r="G13" s="24"/>
    </row>
    <row r="14" spans="1:7">
      <c r="A14" s="24"/>
      <c r="B14" s="24"/>
      <c r="C14" s="24"/>
      <c r="D14" s="24"/>
      <c r="E14" s="24"/>
      <c r="F14" s="24"/>
      <c r="G14" s="24"/>
    </row>
    <row r="15" spans="1:7">
      <c r="A15" s="24"/>
      <c r="B15" s="24"/>
      <c r="C15" s="24"/>
      <c r="D15" s="24"/>
      <c r="E15" s="24"/>
      <c r="F15" s="24"/>
      <c r="G15" s="24"/>
    </row>
    <row r="16" spans="1:7">
      <c r="A16" s="24"/>
      <c r="B16" s="24"/>
      <c r="C16" s="24"/>
      <c r="D16" s="24"/>
      <c r="E16" s="24"/>
      <c r="F16" s="24"/>
      <c r="G16" s="24"/>
    </row>
    <row r="17" spans="1:7">
      <c r="A17" s="24"/>
      <c r="B17" s="24"/>
      <c r="C17" s="24"/>
      <c r="D17" s="24"/>
      <c r="E17" s="24"/>
      <c r="F17" s="24"/>
      <c r="G17" s="24"/>
    </row>
  </sheetData>
  <phoneticPr fontId="15" type="noConversion"/>
  <dataValidations count="1">
    <dataValidation type="list" allowBlank="1" showInputMessage="1" showErrorMessage="1" sqref="F2:F17">
      <formula1>Status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dimension ref="A1"/>
  <sheetViews>
    <sheetView workbookViewId="0"/>
  </sheetViews>
  <sheetFormatPr defaultRowHeight="16.5"/>
  <sheetData/>
  <phoneticPr fontId="1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ProjectSummary</vt:lpstr>
      <vt:lpstr>ProductBklog</vt:lpstr>
      <vt:lpstr>SpSummary</vt:lpstr>
      <vt:lpstr>Sp1</vt:lpstr>
      <vt:lpstr>Data</vt:lpstr>
      <vt:lpstr>Impediments</vt:lpstr>
      <vt:lpstr>Sp2</vt:lpstr>
      <vt:lpstr>Sp3</vt:lpstr>
      <vt:lpstr>Retrospection</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TV Labe Agile Tempplate</dc:title>
  <dc:subject>Scrum</dc:subject>
  <dc:creator>Vijay</dc:creator>
  <dc:description>Agile Scrum Template for TV Lab (CSG1)</dc:description>
  <cp:lastModifiedBy>user</cp:lastModifiedBy>
  <dcterms:created xsi:type="dcterms:W3CDTF">2012-10-17T03:04:56Z</dcterms:created>
  <dcterms:modified xsi:type="dcterms:W3CDTF">2014-05-30T00:10:03Z</dcterms:modified>
</cp:coreProperties>
</file>